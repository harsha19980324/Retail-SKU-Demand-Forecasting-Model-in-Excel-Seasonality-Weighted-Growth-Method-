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p\Music\Harsha K\Upwork\Project\Forecast\Cloth\"/>
    </mc:Choice>
  </mc:AlternateContent>
  <xr:revisionPtr revIDLastSave="0" documentId="13_ncr:1_{53A12E15-2733-4D62-90BB-DB3803B70BC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📊 Forecast Summary" sheetId="1" r:id="rId1"/>
    <sheet name="🌊 Seasonality Index" sheetId="2" r:id="rId2"/>
    <sheet name="📦 Category Analysis" sheetId="3" r:id="rId3"/>
    <sheet name="📋 Methodolog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0" i="1" l="1"/>
  <c r="W30" i="1"/>
  <c r="V30" i="1"/>
  <c r="U30" i="1"/>
  <c r="T30" i="1"/>
  <c r="S30" i="1"/>
  <c r="R30" i="1"/>
  <c r="Q30" i="1"/>
  <c r="P30" i="1"/>
  <c r="O30" i="1"/>
  <c r="N30" i="1"/>
  <c r="M30" i="1"/>
  <c r="I30" i="1"/>
  <c r="G30" i="1"/>
  <c r="F30" i="1"/>
  <c r="E30" i="1"/>
  <c r="D30" i="1"/>
</calcChain>
</file>

<file path=xl/sharedStrings.xml><?xml version="1.0" encoding="utf-8"?>
<sst xmlns="http://schemas.openxmlformats.org/spreadsheetml/2006/main" count="410" uniqueCount="140">
  <si>
    <t>🛍️  CLOTHING SALES FORECAST 2026 — ALL 25 SKUs</t>
  </si>
  <si>
    <t>Forecast Method: Weighted Moving Average (50/30/20%) + Seasonal Adjustment | Growth capped at -15% / +20% for logical projection</t>
  </si>
  <si>
    <t>SKU</t>
  </si>
  <si>
    <t>Product Name</t>
  </si>
  <si>
    <t>Category</t>
  </si>
  <si>
    <t>2022
Actual</t>
  </si>
  <si>
    <t>2023
Actual</t>
  </si>
  <si>
    <t>2024
Actual</t>
  </si>
  <si>
    <t>2025
Actual</t>
  </si>
  <si>
    <t>WMA
Growth %</t>
  </si>
  <si>
    <t>2026
Forecast</t>
  </si>
  <si>
    <t>vs 2025
Change</t>
  </si>
  <si>
    <t>vs 2025
%</t>
  </si>
  <si>
    <t>Trend
Signal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</si>
  <si>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</si>
  <si>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</si>
  <si>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</si>
  <si>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</si>
  <si>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</si>
  <si>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</si>
  <si>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</si>
  <si>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</si>
  <si>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</si>
  <si>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</si>
  <si>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</si>
  <si>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</si>
  <si>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SKU001</t>
  </si>
  <si>
    <t>Men T-Shirt Basic</t>
  </si>
  <si>
    <t>Men</t>
  </si>
  <si>
    <t>📈 Moderate Growth</t>
  </si>
  <si>
    <t>SKU002</t>
  </si>
  <si>
    <t>Men Polo Shirt</t>
  </si>
  <si>
    <t>➡️ Stable</t>
  </si>
  <si>
    <t>SKU003</t>
  </si>
  <si>
    <t>Men Jeans Slim Fit</t>
  </si>
  <si>
    <t>SKU004</t>
  </si>
  <si>
    <t>Men Formal Shirt</t>
  </si>
  <si>
    <t>SKU005</t>
  </si>
  <si>
    <t>Men Jacket</t>
  </si>
  <si>
    <t>📉 Slight Decline</t>
  </si>
  <si>
    <t>SKU006</t>
  </si>
  <si>
    <t>Women T-Shirt</t>
  </si>
  <si>
    <t>Women</t>
  </si>
  <si>
    <t>SKU007</t>
  </si>
  <si>
    <t>Women Blouse</t>
  </si>
  <si>
    <t>SKU008</t>
  </si>
  <si>
    <t>Women Dress Casual</t>
  </si>
  <si>
    <t>🚀 Strong Growth</t>
  </si>
  <si>
    <t>SKU009</t>
  </si>
  <si>
    <t>Women Jeans</t>
  </si>
  <si>
    <t>SKU010</t>
  </si>
  <si>
    <t>Women Jacket</t>
  </si>
  <si>
    <t>SKU011</t>
  </si>
  <si>
    <t>Kids T-Shirt</t>
  </si>
  <si>
    <t>Kids</t>
  </si>
  <si>
    <t>SKU012</t>
  </si>
  <si>
    <t>Kids Shorts</t>
  </si>
  <si>
    <t>SKU013</t>
  </si>
  <si>
    <t>Kids Dress</t>
  </si>
  <si>
    <t>SKU014</t>
  </si>
  <si>
    <t>Kids Jacket</t>
  </si>
  <si>
    <t>SKU015</t>
  </si>
  <si>
    <t>Hoodie Unisex</t>
  </si>
  <si>
    <t>Unisex</t>
  </si>
  <si>
    <t>SKU016</t>
  </si>
  <si>
    <t>Sweatshirt</t>
  </si>
  <si>
    <t>SKU017</t>
  </si>
  <si>
    <t>Sportswear Set</t>
  </si>
  <si>
    <t>Sports</t>
  </si>
  <si>
    <t>SKU018</t>
  </si>
  <si>
    <t>Leggings</t>
  </si>
  <si>
    <t>SKU019</t>
  </si>
  <si>
    <t>Shorts Casual</t>
  </si>
  <si>
    <t>SKU020</t>
  </si>
  <si>
    <t>Skirt</t>
  </si>
  <si>
    <t>SKU021</t>
  </si>
  <si>
    <t>Formal Trousers</t>
  </si>
  <si>
    <t>SKU022</t>
  </si>
  <si>
    <t>Winter Coat</t>
  </si>
  <si>
    <t>SKU023</t>
  </si>
  <si>
    <t>Denim Jacket</t>
  </si>
  <si>
    <t>SKU024</t>
  </si>
  <si>
    <t>Tank Top</t>
  </si>
  <si>
    <t>SKU025</t>
  </si>
  <si>
    <t>Track Pants</t>
  </si>
  <si>
    <t>TOTAL</t>
  </si>
  <si>
    <t>SEASONALITY INDEX — Monthly Sales Pattern (1.0 = Average Month)</t>
  </si>
  <si>
    <t>Index &gt; 1.0 = Above-average demand | Index &lt; 1.0 = Below-average demand | Values &gt; 1.15 highlighted green | Values &lt; 0.85 highlighted red</t>
  </si>
  <si>
    <t>Peak Month</t>
  </si>
  <si>
    <t>Trough Month</t>
  </si>
  <si>
    <t>CATEGORY-LEVEL FORECAST ANALYSIS 2026</t>
  </si>
  <si>
    <t># SKUs</t>
  </si>
  <si>
    <t>2022 Total</t>
  </si>
  <si>
    <t>2023 Total</t>
  </si>
  <si>
    <t>2024 Total</t>
  </si>
  <si>
    <t>2025 Total</t>
  </si>
  <si>
    <t>2026 Forecast</t>
  </si>
  <si>
    <t>Growth %</t>
  </si>
  <si>
    <t>SKU DETAIL BY CATEGORY</t>
  </si>
  <si>
    <t>2025 Actual</t>
  </si>
  <si>
    <t>Change</t>
  </si>
  <si>
    <t>Trend</t>
  </si>
  <si>
    <t>FORECAST METHODOLOGY &amp; ASSUMPTIONS</t>
  </si>
  <si>
    <t>METHOD</t>
  </si>
  <si>
    <t>Weighted Moving Average (WMA) with Seasonal Decomposition</t>
  </si>
  <si>
    <t>STEP 1 — DATA</t>
  </si>
  <si>
    <t>Historical sales data: 4 years (2022-2025), monthly, 25 SKUs, 1,200 data points</t>
  </si>
  <si>
    <t>STEP 2 — GROWTH</t>
  </si>
  <si>
    <t>Compute YoY growth for 2022→23, 2023→24, 2024→25 per SKU</t>
  </si>
  <si>
    <t>STEP 3 — WEIGHTS</t>
  </si>
  <si>
    <t>Apply weighted average: Most recent year 50%, prior year 30%, oldest 20%</t>
  </si>
  <si>
    <t>STEP 4 — LOGIC CAP</t>
  </si>
  <si>
    <t>Growth rate capped at -15% (floor) to +20% (ceiling) to prevent outlier distortion</t>
  </si>
  <si>
    <t>STEP 5 — SEASONAL</t>
  </si>
  <si>
    <t>Compute seasonality index: avg monthly sales / avg of all months (per SKU, across all years)</t>
  </si>
  <si>
    <t>STEP 6 — APPLY</t>
  </si>
  <si>
    <t>2026 Forecast = 2025 Actual × (1 + WMA Growth Rate)</t>
  </si>
  <si>
    <t>STEP 7 — MONTHLY</t>
  </si>
  <si>
    <t>Monthly split = Annual Forecast × (Seasonality Index / 12)</t>
  </si>
  <si>
    <t>TREND SIGNALS</t>
  </si>
  <si>
    <t>WMA Growth &gt; +8%</t>
  </si>
  <si>
    <t>WMA Growth between +2% and +8%</t>
  </si>
  <si>
    <t>WMA Growth between -2% and +2%</t>
  </si>
  <si>
    <t>WMA Growth between -8% and -2%</t>
  </si>
  <si>
    <t>⚠️ Declining</t>
  </si>
  <si>
    <t>WMA Growth &lt; -8%</t>
  </si>
  <si>
    <t>SEASONALITY</t>
  </si>
  <si>
    <t>Index &gt; 1.25 = Very High Season (dark green)</t>
  </si>
  <si>
    <t>Index 1.15-1.25 = High Season (green)</t>
  </si>
  <si>
    <t>Index 1.05-1.15 = Slightly Above Average</t>
  </si>
  <si>
    <t>Index 0.95-1.05 = Average</t>
  </si>
  <si>
    <t>Index 0.85-0.95 = Slightly Below Average</t>
  </si>
  <si>
    <t>Index 0.75-0.85 = Low Season (red)</t>
  </si>
  <si>
    <t>Index &lt; 0.75 = Very Low Season (dark red)</t>
  </si>
  <si>
    <t>ASSUMPTIONS</t>
  </si>
  <si>
    <t>• No new product launches or discontinuations assumed</t>
  </si>
  <si>
    <t>• Market conditions assumed similar to trailing 12 months</t>
  </si>
  <si>
    <t>• Seasonality patterns assumed consistent with historical</t>
  </si>
  <si>
    <t>• No price changes modeled in unit forecast</t>
  </si>
  <si>
    <t>• External shocks (supply chain, demand spikes) not modeled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</si>
</sst>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217346"/>
      <name val="Arial"/>
    </font>
    <font>
      <b/>
      <sz val="9"/>
      <color rgb="FF1B2A4A"/>
      <name val="Arial"/>
    </font>
    <font>
      <sz val="9"/>
      <color rgb="FF217346"/>
      <name val="Arial"/>
    </font>
    <font>
      <sz val="9"/>
      <color rgb="FFC0392B"/>
      <name val="Arial"/>
    </font>
    <font>
      <b/>
      <sz val="9"/>
      <color rgb="FFC0392B"/>
      <name val="Arial"/>
    </font>
    <font>
      <b/>
      <sz val="10"/>
      <color rgb="FFD4A017"/>
      <name val="Arial"/>
    </font>
    <font>
      <b/>
      <sz val="14"/>
      <color rgb="FFFFFFFF"/>
      <name val="Arial"/>
    </font>
    <font>
      <i/>
      <sz val="9"/>
      <color rgb="FF333333"/>
      <name val="Arial"/>
    </font>
    <font>
      <sz val="9"/>
      <name val="Arial"/>
    </font>
    <font>
      <b/>
      <sz val="9"/>
      <color rgb="FFFFFFFF"/>
      <name val="Arial"/>
    </font>
    <font>
      <b/>
      <sz val="9"/>
      <name val="Arial"/>
    </font>
    <font>
      <b/>
      <sz val="9"/>
      <color rgb="FF1E8449"/>
      <name val="Arial"/>
    </font>
    <font>
      <sz val="10"/>
      <color rgb="FF000000"/>
      <name val="Arial"/>
    </font>
    <font>
      <b/>
      <sz val="10"/>
      <color rgb="FF217346"/>
      <name val="Arial"/>
    </font>
    <font>
      <b/>
      <sz val="10"/>
      <color rgb="FFC0392B"/>
      <name val="Arial"/>
    </font>
    <font>
      <b/>
      <sz val="11"/>
      <color rgb="FFFFFFFF"/>
      <name val="Arial"/>
    </font>
    <font>
      <b/>
      <sz val="15"/>
      <color rgb="FFFFFFFF"/>
      <name val="Arial"/>
    </font>
    <font>
      <sz val="9"/>
      <color rgb="FF444444"/>
      <name val="Arial"/>
    </font>
    <font>
      <b/>
      <sz val="10"/>
      <color rgb="FF1B2A4A"/>
      <name val="Arial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8EDF5"/>
      </patternFill>
    </fill>
    <fill>
      <patternFill patternType="solid">
        <fgColor rgb="FF1A7A7A"/>
      </patternFill>
    </fill>
    <fill>
      <patternFill patternType="solid">
        <fgColor rgb="FFFFFFFF"/>
      </patternFill>
    </fill>
    <fill>
      <patternFill patternType="solid">
        <fgColor rgb="FFEBF5EB"/>
      </patternFill>
    </fill>
    <fill>
      <patternFill patternType="solid">
        <fgColor rgb="FFEFF3FB"/>
      </patternFill>
    </fill>
    <fill>
      <patternFill patternType="solid">
        <fgColor rgb="FFDFF0DF"/>
      </patternFill>
    </fill>
    <fill>
      <patternFill patternType="solid">
        <fgColor rgb="FFE0F5F5"/>
      </patternFill>
    </fill>
    <fill>
      <patternFill patternType="solid">
        <fgColor rgb="FFF0FAF5"/>
      </patternFill>
    </fill>
    <fill>
      <patternFill patternType="solid">
        <fgColor rgb="FFFDECEA"/>
      </patternFill>
    </fill>
    <fill>
      <patternFill patternType="solid">
        <fgColor rgb="FFF1948A"/>
      </patternFill>
    </fill>
    <fill>
      <patternFill patternType="solid">
        <fgColor rgb="FFC0392B"/>
      </patternFill>
    </fill>
    <fill>
      <patternFill patternType="solid">
        <fgColor rgb="FF82E0AA"/>
      </patternFill>
    </fill>
    <fill>
      <patternFill patternType="solid">
        <fgColor rgb="FFD5F5E3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8E44AD"/>
      </patternFill>
    </fill>
    <fill>
      <patternFill patternType="solid">
        <fgColor rgb="FF2E5FA3"/>
      </patternFill>
    </fill>
    <fill>
      <patternFill patternType="solid">
        <fgColor rgb="FF16A085"/>
      </patternFill>
    </fill>
    <fill>
      <patternFill patternType="solid">
        <fgColor rgb="FFE07B3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2" fontId="4" fillId="11" borderId="1" xfId="0" applyNumberFormat="1" applyFont="1" applyFill="1" applyBorder="1" applyAlignment="1">
      <alignment horizontal="center" vertical="center" wrapText="1"/>
    </xf>
    <xf numFmtId="2" fontId="13" fillId="12" borderId="1" xfId="0" applyNumberFormat="1" applyFont="1" applyFill="1" applyBorder="1" applyAlignment="1">
      <alignment horizontal="center" vertical="center" wrapText="1"/>
    </xf>
    <xf numFmtId="2" fontId="14" fillId="13" borderId="1" xfId="0" applyNumberFormat="1" applyFont="1" applyFill="1" applyBorder="1" applyAlignment="1">
      <alignment horizontal="center" vertical="center" wrapText="1"/>
    </xf>
    <xf numFmtId="2" fontId="4" fillId="10" borderId="1" xfId="0" applyNumberFormat="1" applyFont="1" applyFill="1" applyBorder="1" applyAlignment="1">
      <alignment horizontal="center" vertical="center" wrapText="1"/>
    </xf>
    <xf numFmtId="2" fontId="15" fillId="14" borderId="1" xfId="0" applyNumberFormat="1" applyFont="1" applyFill="1" applyBorder="1" applyAlignment="1">
      <alignment horizontal="center" vertical="center" wrapText="1"/>
    </xf>
    <xf numFmtId="2" fontId="4" fillId="15" borderId="1" xfId="0" applyNumberFormat="1" applyFont="1" applyFill="1" applyBorder="1" applyAlignment="1">
      <alignment horizontal="center" vertical="center" wrapText="1"/>
    </xf>
    <xf numFmtId="2" fontId="14" fillId="16" borderId="1" xfId="0" applyNumberFormat="1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2" fontId="4" fillId="5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22" fillId="0" borderId="0" xfId="0" applyFont="1"/>
    <xf numFmtId="0" fontId="13" fillId="0" borderId="0" xfId="0" applyFont="1" applyAlignment="1">
      <alignment vertical="top" wrapText="1"/>
    </xf>
    <xf numFmtId="0" fontId="23" fillId="3" borderId="0" xfId="0" applyFont="1" applyFill="1"/>
    <xf numFmtId="0" fontId="0" fillId="3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5" sqref="A5"/>
    </sheetView>
  </sheetViews>
  <sheetFormatPr defaultRowHeight="14.4" x14ac:dyDescent="0.3"/>
  <cols>
    <col min="1" max="1" width="7" bestFit="1" customWidth="1"/>
    <col min="2" max="2" width="17.21875" bestFit="1" customWidth="1"/>
    <col min="3" max="3" width="9" bestFit="1" customWidth="1"/>
    <col min="4" max="7" width="6.5546875" bestFit="1" customWidth="1"/>
    <col min="8" max="8" width="9.88671875" bestFit="1" customWidth="1"/>
    <col min="9" max="9" width="8.6640625" bestFit="1" customWidth="1"/>
    <col min="10" max="10" width="7.6640625" bestFit="1" customWidth="1"/>
    <col min="11" max="11" width="7.5546875" bestFit="1" customWidth="1"/>
    <col min="12" max="12" width="15.6640625" bestFit="1" customWidth="1"/>
    <col min="13" max="24" width="5.5546875" bestFit="1" customWidth="1"/>
  </cols>
  <sheetData>
    <row r="1" spans="1:24" ht="36" customHeight="1" x14ac:dyDescent="0.3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spans="1:24" ht="18" customHeight="1" x14ac:dyDescent="0.3">
      <c r="A2" s="60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spans="1:24" ht="7.95" customHeight="1" x14ac:dyDescent="0.3"/>
    <row r="4" spans="1:24" ht="34.049999999999997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</row>
    <row r="5" spans="1:24" ht="18" customHeight="1" x14ac:dyDescent="0.3">
      <c r="A5" s="3" t="s">
        <v>26</v>
      </c>
      <c r="B5" s="3" t="s">
        <v>27</v>
      </c>
      <c r="C5" s="3" t="s">
        <v>28</v>
      </c>
      <c r="D5" s="4">
        <v>883</v>
      </c>
      <c r="E5" s="4">
        <v>795</v>
      </c>
      <c r="F5" s="4">
        <v>1018</v>
      </c>
      <c r="G5" s="4">
        <v>1018</v>
      </c>
      <c r="H5" s="5">
        <v>6.4218893566101831E-2</v>
      </c>
      <c r="I5" s="6">
        <v>1083</v>
      </c>
      <c r="J5" s="3">
        <v>65</v>
      </c>
      <c r="K5" s="7">
        <v>6.4218893566101831E-2</v>
      </c>
      <c r="L5" s="3" t="s">
        <v>29</v>
      </c>
      <c r="M5" s="8">
        <v>79</v>
      </c>
      <c r="N5" s="8">
        <v>76</v>
      </c>
      <c r="O5" s="8">
        <v>60</v>
      </c>
      <c r="P5" s="8">
        <v>92</v>
      </c>
      <c r="Q5" s="8">
        <v>82</v>
      </c>
      <c r="R5" s="8">
        <v>111</v>
      </c>
      <c r="S5" s="8">
        <v>99</v>
      </c>
      <c r="T5" s="8">
        <v>63</v>
      </c>
      <c r="U5" s="8">
        <v>91</v>
      </c>
      <c r="V5" s="8">
        <v>89</v>
      </c>
      <c r="W5" s="8">
        <v>108</v>
      </c>
      <c r="X5" s="8">
        <v>132</v>
      </c>
    </row>
    <row r="6" spans="1:24" ht="18" customHeight="1" x14ac:dyDescent="0.3">
      <c r="A6" s="9" t="s">
        <v>30</v>
      </c>
      <c r="B6" s="9" t="s">
        <v>31</v>
      </c>
      <c r="C6" s="9" t="s">
        <v>28</v>
      </c>
      <c r="D6" s="10">
        <v>1090</v>
      </c>
      <c r="E6" s="10">
        <v>1048</v>
      </c>
      <c r="F6" s="10">
        <v>1069</v>
      </c>
      <c r="G6" s="10">
        <v>1041</v>
      </c>
      <c r="H6" s="11">
        <v>-1.4791323367258569E-2</v>
      </c>
      <c r="I6" s="12">
        <v>1026</v>
      </c>
      <c r="J6" s="9">
        <v>-15</v>
      </c>
      <c r="K6" s="13">
        <v>-1.4791323367258569E-2</v>
      </c>
      <c r="L6" s="9" t="s">
        <v>32</v>
      </c>
      <c r="M6" s="14">
        <v>65</v>
      </c>
      <c r="N6" s="14">
        <v>66</v>
      </c>
      <c r="O6" s="14">
        <v>63</v>
      </c>
      <c r="P6" s="14">
        <v>76</v>
      </c>
      <c r="Q6" s="14">
        <v>91</v>
      </c>
      <c r="R6" s="14">
        <v>87</v>
      </c>
      <c r="S6" s="14">
        <v>90</v>
      </c>
      <c r="T6" s="14">
        <v>69</v>
      </c>
      <c r="U6" s="14">
        <v>72</v>
      </c>
      <c r="V6" s="14">
        <v>90</v>
      </c>
      <c r="W6" s="14">
        <v>131</v>
      </c>
      <c r="X6" s="14">
        <v>125</v>
      </c>
    </row>
    <row r="7" spans="1:24" ht="18" customHeight="1" x14ac:dyDescent="0.3">
      <c r="A7" s="3" t="s">
        <v>33</v>
      </c>
      <c r="B7" s="3" t="s">
        <v>34</v>
      </c>
      <c r="C7" s="3" t="s">
        <v>28</v>
      </c>
      <c r="D7" s="4">
        <v>934</v>
      </c>
      <c r="E7" s="4">
        <v>1083</v>
      </c>
      <c r="F7" s="4">
        <v>1067</v>
      </c>
      <c r="G7" s="4">
        <v>1032</v>
      </c>
      <c r="H7" s="15">
        <v>1.10725239720462E-2</v>
      </c>
      <c r="I7" s="6">
        <v>1043</v>
      </c>
      <c r="J7" s="3">
        <v>11</v>
      </c>
      <c r="K7" s="7">
        <v>1.10725239720462E-2</v>
      </c>
      <c r="L7" s="3" t="s">
        <v>32</v>
      </c>
      <c r="M7" s="8">
        <v>72</v>
      </c>
      <c r="N7" s="8">
        <v>54</v>
      </c>
      <c r="O7" s="8">
        <v>76</v>
      </c>
      <c r="P7" s="8">
        <v>101</v>
      </c>
      <c r="Q7" s="8">
        <v>57</v>
      </c>
      <c r="R7" s="8">
        <v>109</v>
      </c>
      <c r="S7" s="8">
        <v>108</v>
      </c>
      <c r="T7" s="8">
        <v>86</v>
      </c>
      <c r="U7" s="8">
        <v>90</v>
      </c>
      <c r="V7" s="8">
        <v>110</v>
      </c>
      <c r="W7" s="8">
        <v>104</v>
      </c>
      <c r="X7" s="8">
        <v>77</v>
      </c>
    </row>
    <row r="8" spans="1:24" ht="18" customHeight="1" x14ac:dyDescent="0.3">
      <c r="A8" s="9" t="s">
        <v>35</v>
      </c>
      <c r="B8" s="9" t="s">
        <v>36</v>
      </c>
      <c r="C8" s="9" t="s">
        <v>28</v>
      </c>
      <c r="D8" s="10">
        <v>929</v>
      </c>
      <c r="E8" s="10">
        <v>985</v>
      </c>
      <c r="F8" s="10">
        <v>1067</v>
      </c>
      <c r="G8" s="10">
        <v>991</v>
      </c>
      <c r="H8" s="11">
        <v>1.416722789692685E-3</v>
      </c>
      <c r="I8" s="12">
        <v>992</v>
      </c>
      <c r="J8" s="9">
        <v>1</v>
      </c>
      <c r="K8" s="16">
        <v>1.416722789692685E-3</v>
      </c>
      <c r="L8" s="9" t="s">
        <v>32</v>
      </c>
      <c r="M8" s="14">
        <v>86</v>
      </c>
      <c r="N8" s="14">
        <v>67</v>
      </c>
      <c r="O8" s="14">
        <v>72</v>
      </c>
      <c r="P8" s="14">
        <v>78</v>
      </c>
      <c r="Q8" s="14">
        <v>94</v>
      </c>
      <c r="R8" s="14">
        <v>85</v>
      </c>
      <c r="S8" s="14">
        <v>95</v>
      </c>
      <c r="T8" s="14">
        <v>74</v>
      </c>
      <c r="U8" s="14">
        <v>54</v>
      </c>
      <c r="V8" s="14">
        <v>71</v>
      </c>
      <c r="W8" s="14">
        <v>104</v>
      </c>
      <c r="X8" s="14">
        <v>111</v>
      </c>
    </row>
    <row r="9" spans="1:24" ht="18" customHeight="1" x14ac:dyDescent="0.3">
      <c r="A9" s="3" t="s">
        <v>37</v>
      </c>
      <c r="B9" s="3" t="s">
        <v>38</v>
      </c>
      <c r="C9" s="3" t="s">
        <v>28</v>
      </c>
      <c r="D9" s="4">
        <v>889</v>
      </c>
      <c r="E9" s="4">
        <v>1046</v>
      </c>
      <c r="F9" s="4">
        <v>1222</v>
      </c>
      <c r="G9" s="4">
        <v>949</v>
      </c>
      <c r="H9" s="15">
        <v>-2.5903531260414989E-2</v>
      </c>
      <c r="I9" s="6">
        <v>924</v>
      </c>
      <c r="J9" s="3">
        <v>-25</v>
      </c>
      <c r="K9" s="17">
        <v>-2.5903531260414989E-2</v>
      </c>
      <c r="L9" s="3" t="s">
        <v>39</v>
      </c>
      <c r="M9" s="8">
        <v>83</v>
      </c>
      <c r="N9" s="8">
        <v>61</v>
      </c>
      <c r="O9" s="8">
        <v>64</v>
      </c>
      <c r="P9" s="8">
        <v>70</v>
      </c>
      <c r="Q9" s="8">
        <v>73</v>
      </c>
      <c r="R9" s="8">
        <v>79</v>
      </c>
      <c r="S9" s="8">
        <v>82</v>
      </c>
      <c r="T9" s="8">
        <v>67</v>
      </c>
      <c r="U9" s="8">
        <v>88</v>
      </c>
      <c r="V9" s="8">
        <v>75</v>
      </c>
      <c r="W9" s="8">
        <v>82</v>
      </c>
      <c r="X9" s="8">
        <v>101</v>
      </c>
    </row>
    <row r="10" spans="1:24" ht="18" customHeight="1" x14ac:dyDescent="0.3">
      <c r="A10" s="9" t="s">
        <v>40</v>
      </c>
      <c r="B10" s="9" t="s">
        <v>41</v>
      </c>
      <c r="C10" s="9" t="s">
        <v>42</v>
      </c>
      <c r="D10" s="10">
        <v>987</v>
      </c>
      <c r="E10" s="10">
        <v>1045</v>
      </c>
      <c r="F10" s="10">
        <v>1048</v>
      </c>
      <c r="G10" s="10">
        <v>1045</v>
      </c>
      <c r="H10" s="11">
        <v>1.118273253008642E-2</v>
      </c>
      <c r="I10" s="12">
        <v>1057</v>
      </c>
      <c r="J10" s="9">
        <v>12</v>
      </c>
      <c r="K10" s="16">
        <v>1.118273253008642E-2</v>
      </c>
      <c r="L10" s="9" t="s">
        <v>32</v>
      </c>
      <c r="M10" s="14">
        <v>95</v>
      </c>
      <c r="N10" s="14">
        <v>68</v>
      </c>
      <c r="O10" s="14">
        <v>86</v>
      </c>
      <c r="P10" s="14">
        <v>76</v>
      </c>
      <c r="Q10" s="14">
        <v>91</v>
      </c>
      <c r="R10" s="14">
        <v>96</v>
      </c>
      <c r="S10" s="14">
        <v>76</v>
      </c>
      <c r="T10" s="14">
        <v>86</v>
      </c>
      <c r="U10" s="14">
        <v>89</v>
      </c>
      <c r="V10" s="14">
        <v>86</v>
      </c>
      <c r="W10" s="14">
        <v>116</v>
      </c>
      <c r="X10" s="14">
        <v>93</v>
      </c>
    </row>
    <row r="11" spans="1:24" ht="18" customHeight="1" x14ac:dyDescent="0.3">
      <c r="A11" s="3" t="s">
        <v>43</v>
      </c>
      <c r="B11" s="3" t="s">
        <v>44</v>
      </c>
      <c r="C11" s="3" t="s">
        <v>42</v>
      </c>
      <c r="D11" s="4">
        <v>908</v>
      </c>
      <c r="E11" s="4">
        <v>1024</v>
      </c>
      <c r="F11" s="4">
        <v>916</v>
      </c>
      <c r="G11" s="4">
        <v>1063</v>
      </c>
      <c r="H11" s="5">
        <v>7.4150210465440625E-2</v>
      </c>
      <c r="I11" s="6">
        <v>1142</v>
      </c>
      <c r="J11" s="3">
        <v>79</v>
      </c>
      <c r="K11" s="7">
        <v>7.4150210465440625E-2</v>
      </c>
      <c r="L11" s="3" t="s">
        <v>29</v>
      </c>
      <c r="M11" s="8">
        <v>85</v>
      </c>
      <c r="N11" s="8">
        <v>101</v>
      </c>
      <c r="O11" s="8">
        <v>76</v>
      </c>
      <c r="P11" s="8">
        <v>78</v>
      </c>
      <c r="Q11" s="8">
        <v>92</v>
      </c>
      <c r="R11" s="8">
        <v>99</v>
      </c>
      <c r="S11" s="8">
        <v>118</v>
      </c>
      <c r="T11" s="8">
        <v>110</v>
      </c>
      <c r="U11" s="8">
        <v>87</v>
      </c>
      <c r="V11" s="8">
        <v>93</v>
      </c>
      <c r="W11" s="8">
        <v>107</v>
      </c>
      <c r="X11" s="8">
        <v>97</v>
      </c>
    </row>
    <row r="12" spans="1:24" ht="18" customHeight="1" x14ac:dyDescent="0.3">
      <c r="A12" s="9" t="s">
        <v>45</v>
      </c>
      <c r="B12" s="9" t="s">
        <v>46</v>
      </c>
      <c r="C12" s="9" t="s">
        <v>42</v>
      </c>
      <c r="D12" s="10">
        <v>852</v>
      </c>
      <c r="E12" s="10">
        <v>979</v>
      </c>
      <c r="F12" s="10">
        <v>793</v>
      </c>
      <c r="G12" s="10">
        <v>1076</v>
      </c>
      <c r="H12" s="18">
        <v>0.15125158870472899</v>
      </c>
      <c r="I12" s="12">
        <v>1239</v>
      </c>
      <c r="J12" s="9">
        <v>163</v>
      </c>
      <c r="K12" s="16">
        <v>0.15125158870472899</v>
      </c>
      <c r="L12" s="9" t="s">
        <v>47</v>
      </c>
      <c r="M12" s="14">
        <v>93</v>
      </c>
      <c r="N12" s="14">
        <v>65</v>
      </c>
      <c r="O12" s="14">
        <v>97</v>
      </c>
      <c r="P12" s="14">
        <v>81</v>
      </c>
      <c r="Q12" s="14">
        <v>106</v>
      </c>
      <c r="R12" s="14">
        <v>140</v>
      </c>
      <c r="S12" s="14">
        <v>106</v>
      </c>
      <c r="T12" s="14">
        <v>104</v>
      </c>
      <c r="U12" s="14">
        <v>100</v>
      </c>
      <c r="V12" s="14">
        <v>133</v>
      </c>
      <c r="W12" s="14">
        <v>84</v>
      </c>
      <c r="X12" s="14">
        <v>128</v>
      </c>
    </row>
    <row r="13" spans="1:24" ht="18" customHeight="1" x14ac:dyDescent="0.3">
      <c r="A13" s="3" t="s">
        <v>48</v>
      </c>
      <c r="B13" s="3" t="s">
        <v>49</v>
      </c>
      <c r="C13" s="3" t="s">
        <v>42</v>
      </c>
      <c r="D13" s="4">
        <v>1089</v>
      </c>
      <c r="E13" s="4">
        <v>1070</v>
      </c>
      <c r="F13" s="4">
        <v>1047</v>
      </c>
      <c r="G13" s="4">
        <v>907</v>
      </c>
      <c r="H13" s="19">
        <v>-7.6795726618110266E-2</v>
      </c>
      <c r="I13" s="6">
        <v>837</v>
      </c>
      <c r="J13" s="3">
        <v>-70</v>
      </c>
      <c r="K13" s="17">
        <v>-7.6795726618110266E-2</v>
      </c>
      <c r="L13" s="3" t="s">
        <v>39</v>
      </c>
      <c r="M13" s="8">
        <v>62</v>
      </c>
      <c r="N13" s="8">
        <v>60</v>
      </c>
      <c r="O13" s="8">
        <v>61</v>
      </c>
      <c r="P13" s="8">
        <v>66</v>
      </c>
      <c r="Q13" s="8">
        <v>69</v>
      </c>
      <c r="R13" s="8">
        <v>84</v>
      </c>
      <c r="S13" s="8">
        <v>86</v>
      </c>
      <c r="T13" s="8">
        <v>67</v>
      </c>
      <c r="U13" s="8">
        <v>68</v>
      </c>
      <c r="V13" s="8">
        <v>61</v>
      </c>
      <c r="W13" s="8">
        <v>85</v>
      </c>
      <c r="X13" s="8">
        <v>68</v>
      </c>
    </row>
    <row r="14" spans="1:24" ht="18" customHeight="1" x14ac:dyDescent="0.3">
      <c r="A14" s="9" t="s">
        <v>50</v>
      </c>
      <c r="B14" s="9" t="s">
        <v>51</v>
      </c>
      <c r="C14" s="9" t="s">
        <v>42</v>
      </c>
      <c r="D14" s="10">
        <v>972</v>
      </c>
      <c r="E14" s="10">
        <v>953</v>
      </c>
      <c r="F14" s="10">
        <v>1077</v>
      </c>
      <c r="G14" s="10">
        <v>970</v>
      </c>
      <c r="H14" s="11">
        <v>-1.454986074107369E-2</v>
      </c>
      <c r="I14" s="12">
        <v>956</v>
      </c>
      <c r="J14" s="9">
        <v>-14</v>
      </c>
      <c r="K14" s="13">
        <v>-1.454986074107369E-2</v>
      </c>
      <c r="L14" s="9" t="s">
        <v>32</v>
      </c>
      <c r="M14" s="14">
        <v>103</v>
      </c>
      <c r="N14" s="14">
        <v>72</v>
      </c>
      <c r="O14" s="14">
        <v>68</v>
      </c>
      <c r="P14" s="14">
        <v>96</v>
      </c>
      <c r="Q14" s="14">
        <v>50</v>
      </c>
      <c r="R14" s="14">
        <v>95</v>
      </c>
      <c r="S14" s="14">
        <v>64</v>
      </c>
      <c r="T14" s="14">
        <v>67</v>
      </c>
      <c r="U14" s="14">
        <v>72</v>
      </c>
      <c r="V14" s="14">
        <v>70</v>
      </c>
      <c r="W14" s="14">
        <v>106</v>
      </c>
      <c r="X14" s="14">
        <v>94</v>
      </c>
    </row>
    <row r="15" spans="1:24" ht="18" customHeight="1" x14ac:dyDescent="0.3">
      <c r="A15" s="3" t="s">
        <v>52</v>
      </c>
      <c r="B15" s="3" t="s">
        <v>53</v>
      </c>
      <c r="C15" s="3" t="s">
        <v>54</v>
      </c>
      <c r="D15" s="4">
        <v>1014</v>
      </c>
      <c r="E15" s="4">
        <v>1042</v>
      </c>
      <c r="F15" s="4">
        <v>993</v>
      </c>
      <c r="G15" s="4">
        <v>988</v>
      </c>
      <c r="H15" s="15">
        <v>-1.110242652239197E-2</v>
      </c>
      <c r="I15" s="6">
        <v>977</v>
      </c>
      <c r="J15" s="3">
        <v>-11</v>
      </c>
      <c r="K15" s="17">
        <v>-1.110242652239197E-2</v>
      </c>
      <c r="L15" s="3" t="s">
        <v>32</v>
      </c>
      <c r="M15" s="8">
        <v>77</v>
      </c>
      <c r="N15" s="8">
        <v>76</v>
      </c>
      <c r="O15" s="8">
        <v>64</v>
      </c>
      <c r="P15" s="8">
        <v>102</v>
      </c>
      <c r="Q15" s="8">
        <v>68</v>
      </c>
      <c r="R15" s="8">
        <v>107</v>
      </c>
      <c r="S15" s="8">
        <v>98</v>
      </c>
      <c r="T15" s="8">
        <v>61</v>
      </c>
      <c r="U15" s="8">
        <v>77</v>
      </c>
      <c r="V15" s="8">
        <v>64</v>
      </c>
      <c r="W15" s="8">
        <v>92</v>
      </c>
      <c r="X15" s="8">
        <v>90</v>
      </c>
    </row>
    <row r="16" spans="1:24" ht="18" customHeight="1" x14ac:dyDescent="0.3">
      <c r="A16" s="9" t="s">
        <v>55</v>
      </c>
      <c r="B16" s="9" t="s">
        <v>56</v>
      </c>
      <c r="C16" s="9" t="s">
        <v>54</v>
      </c>
      <c r="D16" s="10">
        <v>1222</v>
      </c>
      <c r="E16" s="10">
        <v>1022</v>
      </c>
      <c r="F16" s="10">
        <v>1048</v>
      </c>
      <c r="G16" s="10">
        <v>994</v>
      </c>
      <c r="H16" s="20">
        <v>-5.0864489067748077E-2</v>
      </c>
      <c r="I16" s="12">
        <v>943</v>
      </c>
      <c r="J16" s="9">
        <v>-51</v>
      </c>
      <c r="K16" s="13">
        <v>-5.0864489067748077E-2</v>
      </c>
      <c r="L16" s="9" t="s">
        <v>39</v>
      </c>
      <c r="M16" s="14">
        <v>90</v>
      </c>
      <c r="N16" s="14">
        <v>59</v>
      </c>
      <c r="O16" s="14">
        <v>70</v>
      </c>
      <c r="P16" s="14">
        <v>55</v>
      </c>
      <c r="Q16" s="14">
        <v>47</v>
      </c>
      <c r="R16" s="14">
        <v>90</v>
      </c>
      <c r="S16" s="14">
        <v>94</v>
      </c>
      <c r="T16" s="14">
        <v>77</v>
      </c>
      <c r="U16" s="14">
        <v>99</v>
      </c>
      <c r="V16" s="14">
        <v>72</v>
      </c>
      <c r="W16" s="14">
        <v>90</v>
      </c>
      <c r="X16" s="14">
        <v>99</v>
      </c>
    </row>
    <row r="17" spans="1:24" ht="18" customHeight="1" x14ac:dyDescent="0.3">
      <c r="A17" s="3" t="s">
        <v>57</v>
      </c>
      <c r="B17" s="3" t="s">
        <v>58</v>
      </c>
      <c r="C17" s="3" t="s">
        <v>54</v>
      </c>
      <c r="D17" s="4">
        <v>1141</v>
      </c>
      <c r="E17" s="4">
        <v>914</v>
      </c>
      <c r="F17" s="4">
        <v>890</v>
      </c>
      <c r="G17" s="4">
        <v>1019</v>
      </c>
      <c r="H17" s="15">
        <v>2.4804790211010012E-2</v>
      </c>
      <c r="I17" s="6">
        <v>1044</v>
      </c>
      <c r="J17" s="3">
        <v>25</v>
      </c>
      <c r="K17" s="7">
        <v>2.4804790211010012E-2</v>
      </c>
      <c r="L17" s="3" t="s">
        <v>29</v>
      </c>
      <c r="M17" s="8">
        <v>84</v>
      </c>
      <c r="N17" s="8">
        <v>64</v>
      </c>
      <c r="O17" s="8">
        <v>87</v>
      </c>
      <c r="P17" s="8">
        <v>57</v>
      </c>
      <c r="Q17" s="8">
        <v>77</v>
      </c>
      <c r="R17" s="8">
        <v>114</v>
      </c>
      <c r="S17" s="8">
        <v>98</v>
      </c>
      <c r="T17" s="8">
        <v>92</v>
      </c>
      <c r="U17" s="8">
        <v>71</v>
      </c>
      <c r="V17" s="8">
        <v>81</v>
      </c>
      <c r="W17" s="8">
        <v>109</v>
      </c>
      <c r="X17" s="8">
        <v>110</v>
      </c>
    </row>
    <row r="18" spans="1:24" ht="18" customHeight="1" x14ac:dyDescent="0.3">
      <c r="A18" s="9" t="s">
        <v>59</v>
      </c>
      <c r="B18" s="9" t="s">
        <v>60</v>
      </c>
      <c r="C18" s="9" t="s">
        <v>54</v>
      </c>
      <c r="D18" s="10">
        <v>1142</v>
      </c>
      <c r="E18" s="10">
        <v>906</v>
      </c>
      <c r="F18" s="10">
        <v>914</v>
      </c>
      <c r="G18" s="10">
        <v>962</v>
      </c>
      <c r="H18" s="11">
        <v>-1.242378593689206E-2</v>
      </c>
      <c r="I18" s="12">
        <v>950</v>
      </c>
      <c r="J18" s="9">
        <v>-12</v>
      </c>
      <c r="K18" s="13">
        <v>-1.242378593689206E-2</v>
      </c>
      <c r="L18" s="9" t="s">
        <v>32</v>
      </c>
      <c r="M18" s="14">
        <v>72</v>
      </c>
      <c r="N18" s="14">
        <v>61</v>
      </c>
      <c r="O18" s="14">
        <v>56</v>
      </c>
      <c r="P18" s="14">
        <v>60</v>
      </c>
      <c r="Q18" s="14">
        <v>60</v>
      </c>
      <c r="R18" s="14">
        <v>118</v>
      </c>
      <c r="S18" s="14">
        <v>100</v>
      </c>
      <c r="T18" s="14">
        <v>73</v>
      </c>
      <c r="U18" s="14">
        <v>78</v>
      </c>
      <c r="V18" s="14">
        <v>79</v>
      </c>
      <c r="W18" s="14">
        <v>89</v>
      </c>
      <c r="X18" s="14">
        <v>103</v>
      </c>
    </row>
    <row r="19" spans="1:24" ht="18" customHeight="1" x14ac:dyDescent="0.3">
      <c r="A19" s="3" t="s">
        <v>61</v>
      </c>
      <c r="B19" s="3" t="s">
        <v>62</v>
      </c>
      <c r="C19" s="3" t="s">
        <v>63</v>
      </c>
      <c r="D19" s="4">
        <v>937</v>
      </c>
      <c r="E19" s="4">
        <v>946</v>
      </c>
      <c r="F19" s="4">
        <v>972</v>
      </c>
      <c r="G19" s="4">
        <v>981</v>
      </c>
      <c r="H19" s="15">
        <v>1.479589730501845E-2</v>
      </c>
      <c r="I19" s="6">
        <v>996</v>
      </c>
      <c r="J19" s="3">
        <v>15</v>
      </c>
      <c r="K19" s="7">
        <v>1.479589730501845E-2</v>
      </c>
      <c r="L19" s="3" t="s">
        <v>32</v>
      </c>
      <c r="M19" s="8">
        <v>90</v>
      </c>
      <c r="N19" s="8">
        <v>72</v>
      </c>
      <c r="O19" s="8">
        <v>82</v>
      </c>
      <c r="P19" s="8">
        <v>72</v>
      </c>
      <c r="Q19" s="8">
        <v>78</v>
      </c>
      <c r="R19" s="8">
        <v>84</v>
      </c>
      <c r="S19" s="8">
        <v>78</v>
      </c>
      <c r="T19" s="8">
        <v>97</v>
      </c>
      <c r="U19" s="8">
        <v>67</v>
      </c>
      <c r="V19" s="8">
        <v>88</v>
      </c>
      <c r="W19" s="8">
        <v>93</v>
      </c>
      <c r="X19" s="8">
        <v>95</v>
      </c>
    </row>
    <row r="20" spans="1:24" ht="18" customHeight="1" x14ac:dyDescent="0.3">
      <c r="A20" s="9" t="s">
        <v>64</v>
      </c>
      <c r="B20" s="9" t="s">
        <v>65</v>
      </c>
      <c r="C20" s="9" t="s">
        <v>63</v>
      </c>
      <c r="D20" s="10">
        <v>1042</v>
      </c>
      <c r="E20" s="10">
        <v>978</v>
      </c>
      <c r="F20" s="10">
        <v>1029</v>
      </c>
      <c r="G20" s="10">
        <v>951</v>
      </c>
      <c r="H20" s="11">
        <v>-3.4540771954316089E-2</v>
      </c>
      <c r="I20" s="12">
        <v>918</v>
      </c>
      <c r="J20" s="9">
        <v>-33</v>
      </c>
      <c r="K20" s="13">
        <v>-3.4540771954316089E-2</v>
      </c>
      <c r="L20" s="9" t="s">
        <v>39</v>
      </c>
      <c r="M20" s="14">
        <v>67</v>
      </c>
      <c r="N20" s="14">
        <v>72</v>
      </c>
      <c r="O20" s="14">
        <v>67</v>
      </c>
      <c r="P20" s="14">
        <v>68</v>
      </c>
      <c r="Q20" s="14">
        <v>81</v>
      </c>
      <c r="R20" s="14">
        <v>81</v>
      </c>
      <c r="S20" s="14">
        <v>95</v>
      </c>
      <c r="T20" s="14">
        <v>85</v>
      </c>
      <c r="U20" s="14">
        <v>56</v>
      </c>
      <c r="V20" s="14">
        <v>70</v>
      </c>
      <c r="W20" s="14">
        <v>75</v>
      </c>
      <c r="X20" s="14">
        <v>100</v>
      </c>
    </row>
    <row r="21" spans="1:24" ht="18" customHeight="1" x14ac:dyDescent="0.3">
      <c r="A21" s="3" t="s">
        <v>66</v>
      </c>
      <c r="B21" s="3" t="s">
        <v>67</v>
      </c>
      <c r="C21" s="3" t="s">
        <v>68</v>
      </c>
      <c r="D21" s="4">
        <v>997</v>
      </c>
      <c r="E21" s="4">
        <v>1000</v>
      </c>
      <c r="F21" s="4">
        <v>964</v>
      </c>
      <c r="G21" s="4">
        <v>968</v>
      </c>
      <c r="H21" s="15">
        <v>-8.1235057870707554E-3</v>
      </c>
      <c r="I21" s="6">
        <v>960</v>
      </c>
      <c r="J21" s="3">
        <v>-8</v>
      </c>
      <c r="K21" s="17">
        <v>-8.1235057870707554E-3</v>
      </c>
      <c r="L21" s="3" t="s">
        <v>32</v>
      </c>
      <c r="M21" s="8">
        <v>77</v>
      </c>
      <c r="N21" s="8">
        <v>65</v>
      </c>
      <c r="O21" s="8">
        <v>62</v>
      </c>
      <c r="P21" s="8">
        <v>85</v>
      </c>
      <c r="Q21" s="8">
        <v>67</v>
      </c>
      <c r="R21" s="8">
        <v>92</v>
      </c>
      <c r="S21" s="8">
        <v>84</v>
      </c>
      <c r="T21" s="8">
        <v>77</v>
      </c>
      <c r="U21" s="8">
        <v>64</v>
      </c>
      <c r="V21" s="8">
        <v>77</v>
      </c>
      <c r="W21" s="8">
        <v>106</v>
      </c>
      <c r="X21" s="8">
        <v>104</v>
      </c>
    </row>
    <row r="22" spans="1:24" ht="18" customHeight="1" x14ac:dyDescent="0.3">
      <c r="A22" s="9" t="s">
        <v>69</v>
      </c>
      <c r="B22" s="9" t="s">
        <v>70</v>
      </c>
      <c r="C22" s="9" t="s">
        <v>42</v>
      </c>
      <c r="D22" s="10">
        <v>1122</v>
      </c>
      <c r="E22" s="10">
        <v>1068</v>
      </c>
      <c r="F22" s="10">
        <v>1028</v>
      </c>
      <c r="G22" s="10">
        <v>997</v>
      </c>
      <c r="H22" s="11">
        <v>-3.5939444517050792E-2</v>
      </c>
      <c r="I22" s="12">
        <v>961</v>
      </c>
      <c r="J22" s="9">
        <v>-36</v>
      </c>
      <c r="K22" s="13">
        <v>-3.5939444517050792E-2</v>
      </c>
      <c r="L22" s="9" t="s">
        <v>39</v>
      </c>
      <c r="M22" s="14">
        <v>87</v>
      </c>
      <c r="N22" s="14">
        <v>66</v>
      </c>
      <c r="O22" s="14">
        <v>62</v>
      </c>
      <c r="P22" s="14">
        <v>87</v>
      </c>
      <c r="Q22" s="14">
        <v>56</v>
      </c>
      <c r="R22" s="14">
        <v>92</v>
      </c>
      <c r="S22" s="14">
        <v>77</v>
      </c>
      <c r="T22" s="14">
        <v>83</v>
      </c>
      <c r="U22" s="14">
        <v>70</v>
      </c>
      <c r="V22" s="14">
        <v>85</v>
      </c>
      <c r="W22" s="14">
        <v>98</v>
      </c>
      <c r="X22" s="14">
        <v>97</v>
      </c>
    </row>
    <row r="23" spans="1:24" ht="18" customHeight="1" x14ac:dyDescent="0.3">
      <c r="A23" s="3" t="s">
        <v>71</v>
      </c>
      <c r="B23" s="3" t="s">
        <v>72</v>
      </c>
      <c r="C23" s="3" t="s">
        <v>28</v>
      </c>
      <c r="D23" s="4">
        <v>1027</v>
      </c>
      <c r="E23" s="4">
        <v>956</v>
      </c>
      <c r="F23" s="4">
        <v>1055</v>
      </c>
      <c r="G23" s="4">
        <v>926</v>
      </c>
      <c r="H23" s="15">
        <v>-4.389717480106374E-2</v>
      </c>
      <c r="I23" s="6">
        <v>885</v>
      </c>
      <c r="J23" s="3">
        <v>-41</v>
      </c>
      <c r="K23" s="17">
        <v>-4.389717480106374E-2</v>
      </c>
      <c r="L23" s="3" t="s">
        <v>39</v>
      </c>
      <c r="M23" s="8">
        <v>65</v>
      </c>
      <c r="N23" s="8">
        <v>56</v>
      </c>
      <c r="O23" s="8">
        <v>74</v>
      </c>
      <c r="P23" s="8">
        <v>50</v>
      </c>
      <c r="Q23" s="8">
        <v>69</v>
      </c>
      <c r="R23" s="8">
        <v>92</v>
      </c>
      <c r="S23" s="8">
        <v>91</v>
      </c>
      <c r="T23" s="8">
        <v>79</v>
      </c>
      <c r="U23" s="8">
        <v>67</v>
      </c>
      <c r="V23" s="8">
        <v>64</v>
      </c>
      <c r="W23" s="8">
        <v>84</v>
      </c>
      <c r="X23" s="8">
        <v>94</v>
      </c>
    </row>
    <row r="24" spans="1:24" ht="18" customHeight="1" x14ac:dyDescent="0.3">
      <c r="A24" s="9" t="s">
        <v>73</v>
      </c>
      <c r="B24" s="9" t="s">
        <v>74</v>
      </c>
      <c r="C24" s="9" t="s">
        <v>42</v>
      </c>
      <c r="D24" s="10">
        <v>859</v>
      </c>
      <c r="E24" s="10">
        <v>977</v>
      </c>
      <c r="F24" s="10">
        <v>908</v>
      </c>
      <c r="G24" s="10">
        <v>1078</v>
      </c>
      <c r="H24" s="18">
        <v>9.9898833467821899E-2</v>
      </c>
      <c r="I24" s="12">
        <v>1186</v>
      </c>
      <c r="J24" s="9">
        <v>108</v>
      </c>
      <c r="K24" s="16">
        <v>9.9898833467821899E-2</v>
      </c>
      <c r="L24" s="9" t="s">
        <v>47</v>
      </c>
      <c r="M24" s="14">
        <v>103</v>
      </c>
      <c r="N24" s="14">
        <v>70</v>
      </c>
      <c r="O24" s="14">
        <v>61</v>
      </c>
      <c r="P24" s="14">
        <v>123</v>
      </c>
      <c r="Q24" s="14">
        <v>86</v>
      </c>
      <c r="R24" s="14">
        <v>115</v>
      </c>
      <c r="S24" s="14">
        <v>102</v>
      </c>
      <c r="T24" s="14">
        <v>100</v>
      </c>
      <c r="U24" s="14">
        <v>97</v>
      </c>
      <c r="V24" s="14">
        <v>87</v>
      </c>
      <c r="W24" s="14">
        <v>115</v>
      </c>
      <c r="X24" s="14">
        <v>129</v>
      </c>
    </row>
    <row r="25" spans="1:24" ht="18" customHeight="1" x14ac:dyDescent="0.3">
      <c r="A25" s="3" t="s">
        <v>75</v>
      </c>
      <c r="B25" s="3" t="s">
        <v>76</v>
      </c>
      <c r="C25" s="3" t="s">
        <v>28</v>
      </c>
      <c r="D25" s="4">
        <v>978</v>
      </c>
      <c r="E25" s="4">
        <v>978</v>
      </c>
      <c r="F25" s="4">
        <v>1096</v>
      </c>
      <c r="G25" s="4">
        <v>1038</v>
      </c>
      <c r="H25" s="15">
        <v>9.7364650038063681E-3</v>
      </c>
      <c r="I25" s="6">
        <v>1048</v>
      </c>
      <c r="J25" s="3">
        <v>10</v>
      </c>
      <c r="K25" s="7">
        <v>9.7364650038063681E-3</v>
      </c>
      <c r="L25" s="3" t="s">
        <v>32</v>
      </c>
      <c r="M25" s="8">
        <v>78</v>
      </c>
      <c r="N25" s="8">
        <v>72</v>
      </c>
      <c r="O25" s="8">
        <v>88</v>
      </c>
      <c r="P25" s="8">
        <v>61</v>
      </c>
      <c r="Q25" s="8">
        <v>87</v>
      </c>
      <c r="R25" s="8">
        <v>116</v>
      </c>
      <c r="S25" s="8">
        <v>90</v>
      </c>
      <c r="T25" s="8">
        <v>71</v>
      </c>
      <c r="U25" s="8">
        <v>82</v>
      </c>
      <c r="V25" s="8">
        <v>77</v>
      </c>
      <c r="W25" s="8">
        <v>101</v>
      </c>
      <c r="X25" s="8">
        <v>123</v>
      </c>
    </row>
    <row r="26" spans="1:24" ht="18" customHeight="1" x14ac:dyDescent="0.3">
      <c r="A26" s="9" t="s">
        <v>77</v>
      </c>
      <c r="B26" s="9" t="s">
        <v>78</v>
      </c>
      <c r="C26" s="9" t="s">
        <v>63</v>
      </c>
      <c r="D26" s="10">
        <v>749</v>
      </c>
      <c r="E26" s="10">
        <v>1120</v>
      </c>
      <c r="F26" s="10">
        <v>1049</v>
      </c>
      <c r="G26" s="10">
        <v>1015</v>
      </c>
      <c r="H26" s="18">
        <v>6.3841653027042103E-2</v>
      </c>
      <c r="I26" s="12">
        <v>1080</v>
      </c>
      <c r="J26" s="9">
        <v>65</v>
      </c>
      <c r="K26" s="16">
        <v>6.3841653027042103E-2</v>
      </c>
      <c r="L26" s="9" t="s">
        <v>29</v>
      </c>
      <c r="M26" s="14">
        <v>105</v>
      </c>
      <c r="N26" s="14">
        <v>74</v>
      </c>
      <c r="O26" s="14">
        <v>61</v>
      </c>
      <c r="P26" s="14">
        <v>82</v>
      </c>
      <c r="Q26" s="14">
        <v>71</v>
      </c>
      <c r="R26" s="14">
        <v>88</v>
      </c>
      <c r="S26" s="14">
        <v>124</v>
      </c>
      <c r="T26" s="14">
        <v>58</v>
      </c>
      <c r="U26" s="14">
        <v>90</v>
      </c>
      <c r="V26" s="14">
        <v>92</v>
      </c>
      <c r="W26" s="14">
        <v>126</v>
      </c>
      <c r="X26" s="14">
        <v>108</v>
      </c>
    </row>
    <row r="27" spans="1:24" ht="18" customHeight="1" x14ac:dyDescent="0.3">
      <c r="A27" s="3" t="s">
        <v>79</v>
      </c>
      <c r="B27" s="3" t="s">
        <v>80</v>
      </c>
      <c r="C27" s="3" t="s">
        <v>63</v>
      </c>
      <c r="D27" s="4">
        <v>979</v>
      </c>
      <c r="E27" s="4">
        <v>965</v>
      </c>
      <c r="F27" s="4">
        <v>913</v>
      </c>
      <c r="G27" s="4">
        <v>1088</v>
      </c>
      <c r="H27" s="5">
        <v>7.6812032646880454E-2</v>
      </c>
      <c r="I27" s="6">
        <v>1172</v>
      </c>
      <c r="J27" s="3">
        <v>84</v>
      </c>
      <c r="K27" s="7">
        <v>7.6812032646880454E-2</v>
      </c>
      <c r="L27" s="3" t="s">
        <v>29</v>
      </c>
      <c r="M27" s="8">
        <v>80</v>
      </c>
      <c r="N27" s="8">
        <v>88</v>
      </c>
      <c r="O27" s="8">
        <v>72</v>
      </c>
      <c r="P27" s="8">
        <v>113</v>
      </c>
      <c r="Q27" s="8">
        <v>89</v>
      </c>
      <c r="R27" s="8">
        <v>117</v>
      </c>
      <c r="S27" s="8">
        <v>118</v>
      </c>
      <c r="T27" s="8">
        <v>88</v>
      </c>
      <c r="U27" s="8">
        <v>81</v>
      </c>
      <c r="V27" s="8">
        <v>70</v>
      </c>
      <c r="W27" s="8">
        <v>114</v>
      </c>
      <c r="X27" s="8">
        <v>141</v>
      </c>
    </row>
    <row r="28" spans="1:24" ht="18" customHeight="1" x14ac:dyDescent="0.3">
      <c r="A28" s="9" t="s">
        <v>81</v>
      </c>
      <c r="B28" s="9" t="s">
        <v>82</v>
      </c>
      <c r="C28" s="9" t="s">
        <v>42</v>
      </c>
      <c r="D28" s="10">
        <v>1108</v>
      </c>
      <c r="E28" s="10">
        <v>1039</v>
      </c>
      <c r="F28" s="10">
        <v>1062</v>
      </c>
      <c r="G28" s="10">
        <v>929</v>
      </c>
      <c r="H28" s="20">
        <v>-6.8431575131956399E-2</v>
      </c>
      <c r="I28" s="12">
        <v>865</v>
      </c>
      <c r="J28" s="9">
        <v>-64</v>
      </c>
      <c r="K28" s="13">
        <v>-6.8431575131956399E-2</v>
      </c>
      <c r="L28" s="9" t="s">
        <v>39</v>
      </c>
      <c r="M28" s="14">
        <v>68</v>
      </c>
      <c r="N28" s="14">
        <v>64</v>
      </c>
      <c r="O28" s="14">
        <v>64</v>
      </c>
      <c r="P28" s="14">
        <v>59</v>
      </c>
      <c r="Q28" s="14">
        <v>80</v>
      </c>
      <c r="R28" s="14">
        <v>100</v>
      </c>
      <c r="S28" s="14">
        <v>69</v>
      </c>
      <c r="T28" s="14">
        <v>46</v>
      </c>
      <c r="U28" s="14">
        <v>70</v>
      </c>
      <c r="V28" s="14">
        <v>67</v>
      </c>
      <c r="W28" s="14">
        <v>92</v>
      </c>
      <c r="X28" s="14">
        <v>86</v>
      </c>
    </row>
    <row r="29" spans="1:24" ht="18" customHeight="1" x14ac:dyDescent="0.3">
      <c r="A29" s="3" t="s">
        <v>83</v>
      </c>
      <c r="B29" s="3" t="s">
        <v>84</v>
      </c>
      <c r="C29" s="3" t="s">
        <v>68</v>
      </c>
      <c r="D29" s="4">
        <v>956</v>
      </c>
      <c r="E29" s="4">
        <v>977</v>
      </c>
      <c r="F29" s="4">
        <v>914</v>
      </c>
      <c r="G29" s="4">
        <v>950</v>
      </c>
      <c r="H29" s="15">
        <v>4.742026236483443E-3</v>
      </c>
      <c r="I29" s="6">
        <v>955</v>
      </c>
      <c r="J29" s="3">
        <v>5</v>
      </c>
      <c r="K29" s="7">
        <v>4.742026236483443E-3</v>
      </c>
      <c r="L29" s="3" t="s">
        <v>32</v>
      </c>
      <c r="M29" s="8">
        <v>77</v>
      </c>
      <c r="N29" s="8">
        <v>54</v>
      </c>
      <c r="O29" s="8">
        <v>50</v>
      </c>
      <c r="P29" s="8">
        <v>87</v>
      </c>
      <c r="Q29" s="8">
        <v>77</v>
      </c>
      <c r="R29" s="8">
        <v>71</v>
      </c>
      <c r="S29" s="8">
        <v>111</v>
      </c>
      <c r="T29" s="8">
        <v>77</v>
      </c>
      <c r="U29" s="8">
        <v>69</v>
      </c>
      <c r="V29" s="8">
        <v>67</v>
      </c>
      <c r="W29" s="8">
        <v>105</v>
      </c>
      <c r="X29" s="8">
        <v>110</v>
      </c>
    </row>
    <row r="30" spans="1:24" ht="22.05" customHeight="1" x14ac:dyDescent="0.3">
      <c r="A30" s="1" t="s">
        <v>85</v>
      </c>
      <c r="B30" s="1"/>
      <c r="C30" s="1"/>
      <c r="D30" s="21">
        <f>SUM(D5:D29)</f>
        <v>24806</v>
      </c>
      <c r="E30" s="21">
        <f>SUM(E5:E29)</f>
        <v>24916</v>
      </c>
      <c r="F30" s="21">
        <f>SUM(F5:F29)</f>
        <v>25159</v>
      </c>
      <c r="G30" s="21">
        <f>SUM(G5:G29)</f>
        <v>24976</v>
      </c>
      <c r="H30" s="1"/>
      <c r="I30" s="21">
        <f>SUM(I5:I29)</f>
        <v>25239</v>
      </c>
      <c r="J30" s="1"/>
      <c r="K30" s="1"/>
      <c r="L30" s="1"/>
      <c r="M30" s="22">
        <f t="shared" ref="M30:X30" si="0">SUM(M5:M29)</f>
        <v>2043</v>
      </c>
      <c r="N30" s="22">
        <f t="shared" si="0"/>
        <v>1703</v>
      </c>
      <c r="O30" s="22">
        <f t="shared" si="0"/>
        <v>1743</v>
      </c>
      <c r="P30" s="22">
        <f t="shared" si="0"/>
        <v>1975</v>
      </c>
      <c r="Q30" s="22">
        <f t="shared" si="0"/>
        <v>1898</v>
      </c>
      <c r="R30" s="22">
        <f t="shared" si="0"/>
        <v>2462</v>
      </c>
      <c r="S30" s="22">
        <f t="shared" si="0"/>
        <v>2353</v>
      </c>
      <c r="T30" s="22">
        <f t="shared" si="0"/>
        <v>1957</v>
      </c>
      <c r="U30" s="22">
        <f t="shared" si="0"/>
        <v>1949</v>
      </c>
      <c r="V30" s="22">
        <f t="shared" si="0"/>
        <v>2018</v>
      </c>
      <c r="W30" s="22">
        <f t="shared" si="0"/>
        <v>2516</v>
      </c>
      <c r="X30" s="22">
        <f t="shared" si="0"/>
        <v>2615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S13" sqref="S13"/>
    </sheetView>
  </sheetViews>
  <sheetFormatPr defaultRowHeight="14.4" x14ac:dyDescent="0.3"/>
  <cols>
    <col min="1" max="1" width="8" customWidth="1"/>
    <col min="2" max="2" width="20" customWidth="1"/>
    <col min="3" max="14" width="7" customWidth="1"/>
    <col min="15" max="16" width="12" customWidth="1"/>
  </cols>
  <sheetData>
    <row r="1" spans="1:16" ht="30" customHeight="1" x14ac:dyDescent="0.3">
      <c r="A1" s="61" t="s">
        <v>86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6" ht="16.05" customHeight="1" x14ac:dyDescent="0.3">
      <c r="A2" s="62" t="s">
        <v>87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6" ht="28.05" customHeight="1" x14ac:dyDescent="0.3">
      <c r="A3" s="2" t="s">
        <v>2</v>
      </c>
      <c r="B3" s="2" t="s">
        <v>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88</v>
      </c>
      <c r="P3" s="2" t="s">
        <v>89</v>
      </c>
    </row>
    <row r="4" spans="1:16" ht="18" customHeight="1" x14ac:dyDescent="0.3">
      <c r="A4" s="23" t="s">
        <v>26</v>
      </c>
      <c r="B4" s="24" t="s">
        <v>27</v>
      </c>
      <c r="C4" s="25">
        <v>0.87</v>
      </c>
      <c r="D4" s="26">
        <v>0.84</v>
      </c>
      <c r="E4" s="27">
        <v>0.66</v>
      </c>
      <c r="F4" s="28">
        <v>1.02</v>
      </c>
      <c r="G4" s="25">
        <v>0.91</v>
      </c>
      <c r="H4" s="29">
        <v>1.23</v>
      </c>
      <c r="I4" s="30">
        <v>1.1000000000000001</v>
      </c>
      <c r="J4" s="27">
        <v>0.7</v>
      </c>
      <c r="K4" s="28">
        <v>1.01</v>
      </c>
      <c r="L4" s="28">
        <v>0.99</v>
      </c>
      <c r="M4" s="29">
        <v>1.2</v>
      </c>
      <c r="N4" s="31">
        <v>1.47</v>
      </c>
      <c r="O4" s="32" t="s">
        <v>25</v>
      </c>
      <c r="P4" s="33" t="s">
        <v>16</v>
      </c>
    </row>
    <row r="5" spans="1:16" ht="18" customHeight="1" x14ac:dyDescent="0.3">
      <c r="A5" s="34" t="s">
        <v>30</v>
      </c>
      <c r="B5" s="35" t="s">
        <v>31</v>
      </c>
      <c r="C5" s="26">
        <v>0.76</v>
      </c>
      <c r="D5" s="26">
        <v>0.77</v>
      </c>
      <c r="E5" s="27">
        <v>0.74</v>
      </c>
      <c r="F5" s="25">
        <v>0.89</v>
      </c>
      <c r="G5" s="30">
        <v>1.06</v>
      </c>
      <c r="H5" s="36">
        <v>1.02</v>
      </c>
      <c r="I5" s="30">
        <v>1.05</v>
      </c>
      <c r="J5" s="26">
        <v>0.81</v>
      </c>
      <c r="K5" s="26">
        <v>0.84</v>
      </c>
      <c r="L5" s="36">
        <v>1.05</v>
      </c>
      <c r="M5" s="31">
        <v>1.53</v>
      </c>
      <c r="N5" s="31">
        <v>1.46</v>
      </c>
      <c r="O5" s="32" t="s">
        <v>24</v>
      </c>
      <c r="P5" s="33" t="s">
        <v>16</v>
      </c>
    </row>
    <row r="6" spans="1:16" ht="18" customHeight="1" x14ac:dyDescent="0.3">
      <c r="A6" s="23" t="s">
        <v>33</v>
      </c>
      <c r="B6" s="24" t="s">
        <v>34</v>
      </c>
      <c r="C6" s="26">
        <v>0.83</v>
      </c>
      <c r="D6" s="27">
        <v>0.62</v>
      </c>
      <c r="E6" s="25">
        <v>0.87</v>
      </c>
      <c r="F6" s="29">
        <v>1.1599999999999999</v>
      </c>
      <c r="G6" s="27">
        <v>0.65</v>
      </c>
      <c r="H6" s="31">
        <v>1.25</v>
      </c>
      <c r="I6" s="29">
        <v>1.24</v>
      </c>
      <c r="J6" s="28">
        <v>0.99</v>
      </c>
      <c r="K6" s="28">
        <v>1.04</v>
      </c>
      <c r="L6" s="31">
        <v>1.26</v>
      </c>
      <c r="M6" s="29">
        <v>1.2</v>
      </c>
      <c r="N6" s="25">
        <v>0.89</v>
      </c>
      <c r="O6" s="32" t="s">
        <v>23</v>
      </c>
      <c r="P6" s="33" t="s">
        <v>15</v>
      </c>
    </row>
    <row r="7" spans="1:16" ht="18" customHeight="1" x14ac:dyDescent="0.3">
      <c r="A7" s="34" t="s">
        <v>35</v>
      </c>
      <c r="B7" s="35" t="s">
        <v>36</v>
      </c>
      <c r="C7" s="36">
        <v>1.05</v>
      </c>
      <c r="D7" s="26">
        <v>0.82</v>
      </c>
      <c r="E7" s="25">
        <v>0.88</v>
      </c>
      <c r="F7" s="25">
        <v>0.94</v>
      </c>
      <c r="G7" s="30">
        <v>1.1299999999999999</v>
      </c>
      <c r="H7" s="36">
        <v>1.03</v>
      </c>
      <c r="I7" s="29">
        <v>1.1499999999999999</v>
      </c>
      <c r="J7" s="25">
        <v>0.89</v>
      </c>
      <c r="K7" s="27">
        <v>0.66</v>
      </c>
      <c r="L7" s="25">
        <v>0.86</v>
      </c>
      <c r="M7" s="31">
        <v>1.26</v>
      </c>
      <c r="N7" s="31">
        <v>1.34</v>
      </c>
      <c r="O7" s="32" t="s">
        <v>25</v>
      </c>
      <c r="P7" s="33" t="s">
        <v>22</v>
      </c>
    </row>
    <row r="8" spans="1:16" ht="18" customHeight="1" x14ac:dyDescent="0.3">
      <c r="A8" s="23" t="s">
        <v>37</v>
      </c>
      <c r="B8" s="24" t="s">
        <v>38</v>
      </c>
      <c r="C8" s="30">
        <v>1.08</v>
      </c>
      <c r="D8" s="26">
        <v>0.79</v>
      </c>
      <c r="E8" s="26">
        <v>0.83</v>
      </c>
      <c r="F8" s="25">
        <v>0.91</v>
      </c>
      <c r="G8" s="25">
        <v>0.95</v>
      </c>
      <c r="H8" s="28">
        <v>1.02</v>
      </c>
      <c r="I8" s="30">
        <v>1.07</v>
      </c>
      <c r="J8" s="25">
        <v>0.87</v>
      </c>
      <c r="K8" s="30">
        <v>1.1399999999999999</v>
      </c>
      <c r="L8" s="28">
        <v>0.97</v>
      </c>
      <c r="M8" s="30">
        <v>1.07</v>
      </c>
      <c r="N8" s="31">
        <v>1.32</v>
      </c>
      <c r="O8" s="32" t="s">
        <v>25</v>
      </c>
      <c r="P8" s="33" t="s">
        <v>15</v>
      </c>
    </row>
    <row r="9" spans="1:16" ht="18" customHeight="1" x14ac:dyDescent="0.3">
      <c r="A9" s="34" t="s">
        <v>40</v>
      </c>
      <c r="B9" s="35" t="s">
        <v>41</v>
      </c>
      <c r="C9" s="30">
        <v>1.08</v>
      </c>
      <c r="D9" s="26">
        <v>0.77</v>
      </c>
      <c r="E9" s="36">
        <v>0.97</v>
      </c>
      <c r="F9" s="25">
        <v>0.86</v>
      </c>
      <c r="G9" s="36">
        <v>1.04</v>
      </c>
      <c r="H9" s="30">
        <v>1.0900000000000001</v>
      </c>
      <c r="I9" s="25">
        <v>0.86</v>
      </c>
      <c r="J9" s="36">
        <v>0.97</v>
      </c>
      <c r="K9" s="36">
        <v>1.01</v>
      </c>
      <c r="L9" s="36">
        <v>0.98</v>
      </c>
      <c r="M9" s="31">
        <v>1.31</v>
      </c>
      <c r="N9" s="30">
        <v>1.06</v>
      </c>
      <c r="O9" s="32" t="s">
        <v>24</v>
      </c>
      <c r="P9" s="33" t="s">
        <v>15</v>
      </c>
    </row>
    <row r="10" spans="1:16" ht="18" customHeight="1" x14ac:dyDescent="0.3">
      <c r="A10" s="23" t="s">
        <v>43</v>
      </c>
      <c r="B10" s="24" t="s">
        <v>44</v>
      </c>
      <c r="C10" s="25">
        <v>0.9</v>
      </c>
      <c r="D10" s="30">
        <v>1.06</v>
      </c>
      <c r="E10" s="26">
        <v>0.79</v>
      </c>
      <c r="F10" s="26">
        <v>0.82</v>
      </c>
      <c r="G10" s="28">
        <v>0.96</v>
      </c>
      <c r="H10" s="28">
        <v>1.04</v>
      </c>
      <c r="I10" s="29">
        <v>1.24</v>
      </c>
      <c r="J10" s="29">
        <v>1.1499999999999999</v>
      </c>
      <c r="K10" s="25">
        <v>0.91</v>
      </c>
      <c r="L10" s="28">
        <v>0.98</v>
      </c>
      <c r="M10" s="30">
        <v>1.1200000000000001</v>
      </c>
      <c r="N10" s="28">
        <v>1.02</v>
      </c>
      <c r="O10" s="32" t="s">
        <v>20</v>
      </c>
      <c r="P10" s="33" t="s">
        <v>16</v>
      </c>
    </row>
    <row r="11" spans="1:16" ht="18" customHeight="1" x14ac:dyDescent="0.3">
      <c r="A11" s="34" t="s">
        <v>45</v>
      </c>
      <c r="B11" s="35" t="s">
        <v>46</v>
      </c>
      <c r="C11" s="25">
        <v>0.9</v>
      </c>
      <c r="D11" s="27">
        <v>0.63</v>
      </c>
      <c r="E11" s="25">
        <v>0.94</v>
      </c>
      <c r="F11" s="26">
        <v>0.78</v>
      </c>
      <c r="G11" s="36">
        <v>1.03</v>
      </c>
      <c r="H11" s="31">
        <v>1.36</v>
      </c>
      <c r="I11" s="36">
        <v>1.03</v>
      </c>
      <c r="J11" s="36">
        <v>1.01</v>
      </c>
      <c r="K11" s="36">
        <v>0.97</v>
      </c>
      <c r="L11" s="31">
        <v>1.29</v>
      </c>
      <c r="M11" s="26">
        <v>0.81</v>
      </c>
      <c r="N11" s="29">
        <v>1.24</v>
      </c>
      <c r="O11" s="32" t="s">
        <v>19</v>
      </c>
      <c r="P11" s="33" t="s">
        <v>15</v>
      </c>
    </row>
    <row r="12" spans="1:16" ht="18" customHeight="1" x14ac:dyDescent="0.3">
      <c r="A12" s="23" t="s">
        <v>48</v>
      </c>
      <c r="B12" s="24" t="s">
        <v>49</v>
      </c>
      <c r="C12" s="25">
        <v>0.89</v>
      </c>
      <c r="D12" s="25">
        <v>0.87</v>
      </c>
      <c r="E12" s="25">
        <v>0.88</v>
      </c>
      <c r="F12" s="25">
        <v>0.94</v>
      </c>
      <c r="G12" s="28">
        <v>0.99</v>
      </c>
      <c r="H12" s="29">
        <v>1.2</v>
      </c>
      <c r="I12" s="29">
        <v>1.23</v>
      </c>
      <c r="J12" s="28">
        <v>0.95</v>
      </c>
      <c r="K12" s="28">
        <v>0.98</v>
      </c>
      <c r="L12" s="25">
        <v>0.88</v>
      </c>
      <c r="M12" s="29">
        <v>1.23</v>
      </c>
      <c r="N12" s="28">
        <v>0.97</v>
      </c>
      <c r="O12" s="32" t="s">
        <v>20</v>
      </c>
      <c r="P12" s="33" t="s">
        <v>15</v>
      </c>
    </row>
    <row r="13" spans="1:16" ht="18" customHeight="1" x14ac:dyDescent="0.3">
      <c r="A13" s="34" t="s">
        <v>50</v>
      </c>
      <c r="B13" s="35" t="s">
        <v>51</v>
      </c>
      <c r="C13" s="31">
        <v>1.29</v>
      </c>
      <c r="D13" s="25">
        <v>0.9</v>
      </c>
      <c r="E13" s="25">
        <v>0.86</v>
      </c>
      <c r="F13" s="29">
        <v>1.21</v>
      </c>
      <c r="G13" s="27">
        <v>0.63</v>
      </c>
      <c r="H13" s="29">
        <v>1.19</v>
      </c>
      <c r="I13" s="26">
        <v>0.8</v>
      </c>
      <c r="J13" s="26">
        <v>0.84</v>
      </c>
      <c r="K13" s="25">
        <v>0.9</v>
      </c>
      <c r="L13" s="25">
        <v>0.88</v>
      </c>
      <c r="M13" s="31">
        <v>1.33</v>
      </c>
      <c r="N13" s="29">
        <v>1.18</v>
      </c>
      <c r="O13" s="32" t="s">
        <v>24</v>
      </c>
      <c r="P13" s="33" t="s">
        <v>18</v>
      </c>
    </row>
    <row r="14" spans="1:16" ht="18" customHeight="1" x14ac:dyDescent="0.3">
      <c r="A14" s="23" t="s">
        <v>52</v>
      </c>
      <c r="B14" s="24" t="s">
        <v>53</v>
      </c>
      <c r="C14" s="25">
        <v>0.94</v>
      </c>
      <c r="D14" s="25">
        <v>0.93</v>
      </c>
      <c r="E14" s="26">
        <v>0.78</v>
      </c>
      <c r="F14" s="31">
        <v>1.26</v>
      </c>
      <c r="G14" s="26">
        <v>0.84</v>
      </c>
      <c r="H14" s="31">
        <v>1.32</v>
      </c>
      <c r="I14" s="29">
        <v>1.21</v>
      </c>
      <c r="J14" s="27">
        <v>0.75</v>
      </c>
      <c r="K14" s="28">
        <v>0.95</v>
      </c>
      <c r="L14" s="26">
        <v>0.78</v>
      </c>
      <c r="M14" s="30">
        <v>1.1399999999999999</v>
      </c>
      <c r="N14" s="30">
        <v>1.1100000000000001</v>
      </c>
      <c r="O14" s="32" t="s">
        <v>19</v>
      </c>
      <c r="P14" s="33" t="s">
        <v>21</v>
      </c>
    </row>
    <row r="15" spans="1:16" ht="18" customHeight="1" x14ac:dyDescent="0.3">
      <c r="A15" s="34" t="s">
        <v>55</v>
      </c>
      <c r="B15" s="35" t="s">
        <v>56</v>
      </c>
      <c r="C15" s="30">
        <v>1.1399999999999999</v>
      </c>
      <c r="D15" s="26">
        <v>0.75</v>
      </c>
      <c r="E15" s="25">
        <v>0.88</v>
      </c>
      <c r="F15" s="27">
        <v>0.7</v>
      </c>
      <c r="G15" s="27">
        <v>0.6</v>
      </c>
      <c r="H15" s="30">
        <v>1.1499999999999999</v>
      </c>
      <c r="I15" s="29">
        <v>1.2</v>
      </c>
      <c r="J15" s="36">
        <v>0.99</v>
      </c>
      <c r="K15" s="31">
        <v>1.27</v>
      </c>
      <c r="L15" s="25">
        <v>0.92</v>
      </c>
      <c r="M15" s="30">
        <v>1.1399999999999999</v>
      </c>
      <c r="N15" s="31">
        <v>1.26</v>
      </c>
      <c r="O15" s="32" t="s">
        <v>22</v>
      </c>
      <c r="P15" s="33" t="s">
        <v>18</v>
      </c>
    </row>
    <row r="16" spans="1:16" ht="18" customHeight="1" x14ac:dyDescent="0.3">
      <c r="A16" s="23" t="s">
        <v>57</v>
      </c>
      <c r="B16" s="24" t="s">
        <v>58</v>
      </c>
      <c r="C16" s="28">
        <v>0.97</v>
      </c>
      <c r="D16" s="27">
        <v>0.74</v>
      </c>
      <c r="E16" s="28">
        <v>1</v>
      </c>
      <c r="F16" s="27">
        <v>0.65</v>
      </c>
      <c r="G16" s="25">
        <v>0.89</v>
      </c>
      <c r="H16" s="31">
        <v>1.31</v>
      </c>
      <c r="I16" s="30">
        <v>1.1299999999999999</v>
      </c>
      <c r="J16" s="30">
        <v>1.05</v>
      </c>
      <c r="K16" s="26">
        <v>0.82</v>
      </c>
      <c r="L16" s="25">
        <v>0.93</v>
      </c>
      <c r="M16" s="31">
        <v>1.25</v>
      </c>
      <c r="N16" s="31">
        <v>1.26</v>
      </c>
      <c r="O16" s="32" t="s">
        <v>19</v>
      </c>
      <c r="P16" s="33" t="s">
        <v>17</v>
      </c>
    </row>
    <row r="17" spans="1:16" ht="18" customHeight="1" x14ac:dyDescent="0.3">
      <c r="A17" s="34" t="s">
        <v>59</v>
      </c>
      <c r="B17" s="35" t="s">
        <v>60</v>
      </c>
      <c r="C17" s="25">
        <v>0.91</v>
      </c>
      <c r="D17" s="26">
        <v>0.76</v>
      </c>
      <c r="E17" s="27">
        <v>0.7</v>
      </c>
      <c r="F17" s="26">
        <v>0.76</v>
      </c>
      <c r="G17" s="26">
        <v>0.76</v>
      </c>
      <c r="H17" s="31">
        <v>1.5</v>
      </c>
      <c r="I17" s="31">
        <v>1.26</v>
      </c>
      <c r="J17" s="25">
        <v>0.93</v>
      </c>
      <c r="K17" s="36">
        <v>0.99</v>
      </c>
      <c r="L17" s="36">
        <v>1</v>
      </c>
      <c r="M17" s="30">
        <v>1.1299999999999999</v>
      </c>
      <c r="N17" s="31">
        <v>1.31</v>
      </c>
      <c r="O17" s="32" t="s">
        <v>19</v>
      </c>
      <c r="P17" s="33" t="s">
        <v>16</v>
      </c>
    </row>
    <row r="18" spans="1:16" ht="18" customHeight="1" x14ac:dyDescent="0.3">
      <c r="A18" s="23" t="s">
        <v>61</v>
      </c>
      <c r="B18" s="24" t="s">
        <v>62</v>
      </c>
      <c r="C18" s="30">
        <v>1.0900000000000001</v>
      </c>
      <c r="D18" s="25">
        <v>0.87</v>
      </c>
      <c r="E18" s="28">
        <v>0.99</v>
      </c>
      <c r="F18" s="25">
        <v>0.87</v>
      </c>
      <c r="G18" s="25">
        <v>0.94</v>
      </c>
      <c r="H18" s="28">
        <v>1.02</v>
      </c>
      <c r="I18" s="25">
        <v>0.94</v>
      </c>
      <c r="J18" s="29">
        <v>1.17</v>
      </c>
      <c r="K18" s="26">
        <v>0.81</v>
      </c>
      <c r="L18" s="30">
        <v>1.05</v>
      </c>
      <c r="M18" s="30">
        <v>1.1200000000000001</v>
      </c>
      <c r="N18" s="30">
        <v>1.1499999999999999</v>
      </c>
      <c r="O18" s="32" t="s">
        <v>21</v>
      </c>
      <c r="P18" s="33" t="s">
        <v>22</v>
      </c>
    </row>
    <row r="19" spans="1:16" ht="18" customHeight="1" x14ac:dyDescent="0.3">
      <c r="A19" s="34" t="s">
        <v>64</v>
      </c>
      <c r="B19" s="35" t="s">
        <v>65</v>
      </c>
      <c r="C19" s="25">
        <v>0.88</v>
      </c>
      <c r="D19" s="25">
        <v>0.95</v>
      </c>
      <c r="E19" s="25">
        <v>0.88</v>
      </c>
      <c r="F19" s="25">
        <v>0.89</v>
      </c>
      <c r="G19" s="30">
        <v>1.06</v>
      </c>
      <c r="H19" s="30">
        <v>1.06</v>
      </c>
      <c r="I19" s="29">
        <v>1.24</v>
      </c>
      <c r="J19" s="30">
        <v>1.1200000000000001</v>
      </c>
      <c r="K19" s="27">
        <v>0.73</v>
      </c>
      <c r="L19" s="25">
        <v>0.91</v>
      </c>
      <c r="M19" s="36">
        <v>0.98</v>
      </c>
      <c r="N19" s="31">
        <v>1.31</v>
      </c>
      <c r="O19" s="32" t="s">
        <v>25</v>
      </c>
      <c r="P19" s="33" t="s">
        <v>22</v>
      </c>
    </row>
    <row r="20" spans="1:16" ht="18" customHeight="1" x14ac:dyDescent="0.3">
      <c r="A20" s="23" t="s">
        <v>66</v>
      </c>
      <c r="B20" s="24" t="s">
        <v>67</v>
      </c>
      <c r="C20" s="28">
        <v>0.97</v>
      </c>
      <c r="D20" s="26">
        <v>0.81</v>
      </c>
      <c r="E20" s="26">
        <v>0.78</v>
      </c>
      <c r="F20" s="30">
        <v>1.06</v>
      </c>
      <c r="G20" s="26">
        <v>0.84</v>
      </c>
      <c r="H20" s="29">
        <v>1.1499999999999999</v>
      </c>
      <c r="I20" s="30">
        <v>1.05</v>
      </c>
      <c r="J20" s="28">
        <v>0.96</v>
      </c>
      <c r="K20" s="26">
        <v>0.79</v>
      </c>
      <c r="L20" s="28">
        <v>0.97</v>
      </c>
      <c r="M20" s="31">
        <v>1.33</v>
      </c>
      <c r="N20" s="31">
        <v>1.29</v>
      </c>
      <c r="O20" s="32" t="s">
        <v>24</v>
      </c>
      <c r="P20" s="33" t="s">
        <v>16</v>
      </c>
    </row>
    <row r="21" spans="1:16" ht="18" customHeight="1" x14ac:dyDescent="0.3">
      <c r="A21" s="34" t="s">
        <v>69</v>
      </c>
      <c r="B21" s="35" t="s">
        <v>70</v>
      </c>
      <c r="C21" s="30">
        <v>1.0900000000000001</v>
      </c>
      <c r="D21" s="26">
        <v>0.82</v>
      </c>
      <c r="E21" s="26">
        <v>0.78</v>
      </c>
      <c r="F21" s="30">
        <v>1.08</v>
      </c>
      <c r="G21" s="27">
        <v>0.7</v>
      </c>
      <c r="H21" s="30">
        <v>1.1399999999999999</v>
      </c>
      <c r="I21" s="36">
        <v>0.97</v>
      </c>
      <c r="J21" s="36">
        <v>1.03</v>
      </c>
      <c r="K21" s="25">
        <v>0.88</v>
      </c>
      <c r="L21" s="30">
        <v>1.07</v>
      </c>
      <c r="M21" s="29">
        <v>1.22</v>
      </c>
      <c r="N21" s="29">
        <v>1.21</v>
      </c>
      <c r="O21" s="32" t="s">
        <v>24</v>
      </c>
      <c r="P21" s="33" t="s">
        <v>18</v>
      </c>
    </row>
    <row r="22" spans="1:16" ht="18" customHeight="1" x14ac:dyDescent="0.3">
      <c r="A22" s="23" t="s">
        <v>71</v>
      </c>
      <c r="B22" s="24" t="s">
        <v>72</v>
      </c>
      <c r="C22" s="25">
        <v>0.88</v>
      </c>
      <c r="D22" s="26">
        <v>0.76</v>
      </c>
      <c r="E22" s="28">
        <v>1.01</v>
      </c>
      <c r="F22" s="27">
        <v>0.68</v>
      </c>
      <c r="G22" s="25">
        <v>0.93</v>
      </c>
      <c r="H22" s="31">
        <v>1.25</v>
      </c>
      <c r="I22" s="29">
        <v>1.24</v>
      </c>
      <c r="J22" s="30">
        <v>1.07</v>
      </c>
      <c r="K22" s="25">
        <v>0.91</v>
      </c>
      <c r="L22" s="25">
        <v>0.86</v>
      </c>
      <c r="M22" s="30">
        <v>1.1399999999999999</v>
      </c>
      <c r="N22" s="31">
        <v>1.27</v>
      </c>
      <c r="O22" s="32" t="s">
        <v>25</v>
      </c>
      <c r="P22" s="33" t="s">
        <v>17</v>
      </c>
    </row>
    <row r="23" spans="1:16" ht="18" customHeight="1" x14ac:dyDescent="0.3">
      <c r="A23" s="34" t="s">
        <v>73</v>
      </c>
      <c r="B23" s="35" t="s">
        <v>74</v>
      </c>
      <c r="C23" s="36">
        <v>1.04</v>
      </c>
      <c r="D23" s="27">
        <v>0.7</v>
      </c>
      <c r="E23" s="27">
        <v>0.61</v>
      </c>
      <c r="F23" s="29">
        <v>1.24</v>
      </c>
      <c r="G23" s="25">
        <v>0.87</v>
      </c>
      <c r="H23" s="29">
        <v>1.1599999999999999</v>
      </c>
      <c r="I23" s="36">
        <v>1.03</v>
      </c>
      <c r="J23" s="36">
        <v>1.01</v>
      </c>
      <c r="K23" s="36">
        <v>0.98</v>
      </c>
      <c r="L23" s="25">
        <v>0.88</v>
      </c>
      <c r="M23" s="29">
        <v>1.17</v>
      </c>
      <c r="N23" s="31">
        <v>1.3</v>
      </c>
      <c r="O23" s="32" t="s">
        <v>25</v>
      </c>
      <c r="P23" s="33" t="s">
        <v>16</v>
      </c>
    </row>
    <row r="24" spans="1:16" ht="18" customHeight="1" x14ac:dyDescent="0.3">
      <c r="A24" s="23" t="s">
        <v>75</v>
      </c>
      <c r="B24" s="24" t="s">
        <v>76</v>
      </c>
      <c r="C24" s="25">
        <v>0.9</v>
      </c>
      <c r="D24" s="26">
        <v>0.83</v>
      </c>
      <c r="E24" s="28">
        <v>1.01</v>
      </c>
      <c r="F24" s="27">
        <v>0.7</v>
      </c>
      <c r="G24" s="28">
        <v>1</v>
      </c>
      <c r="H24" s="31">
        <v>1.33</v>
      </c>
      <c r="I24" s="28">
        <v>1.04</v>
      </c>
      <c r="J24" s="26">
        <v>0.82</v>
      </c>
      <c r="K24" s="25">
        <v>0.94</v>
      </c>
      <c r="L24" s="25">
        <v>0.89</v>
      </c>
      <c r="M24" s="29">
        <v>1.1599999999999999</v>
      </c>
      <c r="N24" s="31">
        <v>1.41</v>
      </c>
      <c r="O24" s="32" t="s">
        <v>25</v>
      </c>
      <c r="P24" s="33" t="s">
        <v>17</v>
      </c>
    </row>
    <row r="25" spans="1:16" ht="18" customHeight="1" x14ac:dyDescent="0.3">
      <c r="A25" s="34" t="s">
        <v>77</v>
      </c>
      <c r="B25" s="35" t="s">
        <v>78</v>
      </c>
      <c r="C25" s="29">
        <v>1.17</v>
      </c>
      <c r="D25" s="26">
        <v>0.83</v>
      </c>
      <c r="E25" s="27">
        <v>0.67</v>
      </c>
      <c r="F25" s="25">
        <v>0.92</v>
      </c>
      <c r="G25" s="26">
        <v>0.79</v>
      </c>
      <c r="H25" s="36">
        <v>0.97</v>
      </c>
      <c r="I25" s="31">
        <v>1.38</v>
      </c>
      <c r="J25" s="27">
        <v>0.65</v>
      </c>
      <c r="K25" s="36">
        <v>1</v>
      </c>
      <c r="L25" s="36">
        <v>1.02</v>
      </c>
      <c r="M25" s="31">
        <v>1.4</v>
      </c>
      <c r="N25" s="29">
        <v>1.2</v>
      </c>
      <c r="O25" s="32" t="s">
        <v>24</v>
      </c>
      <c r="P25" s="33" t="s">
        <v>21</v>
      </c>
    </row>
    <row r="26" spans="1:16" ht="18" customHeight="1" x14ac:dyDescent="0.3">
      <c r="A26" s="23" t="s">
        <v>79</v>
      </c>
      <c r="B26" s="24" t="s">
        <v>80</v>
      </c>
      <c r="C26" s="26">
        <v>0.82</v>
      </c>
      <c r="D26" s="25">
        <v>0.9</v>
      </c>
      <c r="E26" s="27">
        <v>0.74</v>
      </c>
      <c r="F26" s="29">
        <v>1.1599999999999999</v>
      </c>
      <c r="G26" s="25">
        <v>0.92</v>
      </c>
      <c r="H26" s="29">
        <v>1.2</v>
      </c>
      <c r="I26" s="29">
        <v>1.21</v>
      </c>
      <c r="J26" s="25">
        <v>0.9</v>
      </c>
      <c r="K26" s="26">
        <v>0.83</v>
      </c>
      <c r="L26" s="27">
        <v>0.72</v>
      </c>
      <c r="M26" s="29">
        <v>1.17</v>
      </c>
      <c r="N26" s="31">
        <v>1.45</v>
      </c>
      <c r="O26" s="32" t="s">
        <v>25</v>
      </c>
      <c r="P26" s="33" t="s">
        <v>23</v>
      </c>
    </row>
    <row r="27" spans="1:16" ht="18" customHeight="1" x14ac:dyDescent="0.3">
      <c r="A27" s="34" t="s">
        <v>81</v>
      </c>
      <c r="B27" s="35" t="s">
        <v>82</v>
      </c>
      <c r="C27" s="25">
        <v>0.94</v>
      </c>
      <c r="D27" s="25">
        <v>0.89</v>
      </c>
      <c r="E27" s="25">
        <v>0.89</v>
      </c>
      <c r="F27" s="26">
        <v>0.81</v>
      </c>
      <c r="G27" s="30">
        <v>1.1100000000000001</v>
      </c>
      <c r="H27" s="31">
        <v>1.39</v>
      </c>
      <c r="I27" s="36">
        <v>0.95</v>
      </c>
      <c r="J27" s="27">
        <v>0.64</v>
      </c>
      <c r="K27" s="36">
        <v>0.98</v>
      </c>
      <c r="L27" s="25">
        <v>0.93</v>
      </c>
      <c r="M27" s="31">
        <v>1.28</v>
      </c>
      <c r="N27" s="29">
        <v>1.19</v>
      </c>
      <c r="O27" s="32" t="s">
        <v>19</v>
      </c>
      <c r="P27" s="33" t="s">
        <v>21</v>
      </c>
    </row>
    <row r="28" spans="1:16" ht="18" customHeight="1" x14ac:dyDescent="0.3">
      <c r="A28" s="23" t="s">
        <v>83</v>
      </c>
      <c r="B28" s="24" t="s">
        <v>84</v>
      </c>
      <c r="C28" s="28">
        <v>0.97</v>
      </c>
      <c r="D28" s="27">
        <v>0.68</v>
      </c>
      <c r="E28" s="27">
        <v>0.63</v>
      </c>
      <c r="F28" s="30">
        <v>1.0900000000000001</v>
      </c>
      <c r="G28" s="28">
        <v>0.97</v>
      </c>
      <c r="H28" s="25">
        <v>0.89</v>
      </c>
      <c r="I28" s="31">
        <v>1.39</v>
      </c>
      <c r="J28" s="28">
        <v>0.97</v>
      </c>
      <c r="K28" s="25">
        <v>0.86</v>
      </c>
      <c r="L28" s="26">
        <v>0.84</v>
      </c>
      <c r="M28" s="31">
        <v>1.32</v>
      </c>
      <c r="N28" s="31">
        <v>1.38</v>
      </c>
      <c r="O28" s="32" t="s">
        <v>20</v>
      </c>
      <c r="P28" s="33" t="s">
        <v>16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showGridLines="0" topLeftCell="A9" workbookViewId="0">
      <selection activeCell="J8" sqref="J8"/>
    </sheetView>
  </sheetViews>
  <sheetFormatPr defaultRowHeight="14.4" x14ac:dyDescent="0.3"/>
  <cols>
    <col min="1" max="1" width="12" customWidth="1"/>
    <col min="2" max="2" width="8" customWidth="1"/>
    <col min="3" max="6" width="12" customWidth="1"/>
    <col min="7" max="7" width="14" customWidth="1"/>
    <col min="8" max="8" width="15.6640625" bestFit="1" customWidth="1"/>
  </cols>
  <sheetData>
    <row r="1" spans="1:8" ht="30" customHeight="1" x14ac:dyDescent="0.3">
      <c r="A1" s="64" t="s">
        <v>90</v>
      </c>
      <c r="B1" s="59"/>
      <c r="C1" s="59"/>
      <c r="D1" s="59"/>
      <c r="E1" s="59"/>
      <c r="F1" s="59"/>
      <c r="G1" s="59"/>
      <c r="H1" s="59"/>
    </row>
    <row r="3" spans="1:8" ht="28.05" customHeight="1" x14ac:dyDescent="0.3">
      <c r="A3" s="37" t="s">
        <v>4</v>
      </c>
      <c r="B3" s="37" t="s">
        <v>91</v>
      </c>
      <c r="C3" s="37" t="s">
        <v>92</v>
      </c>
      <c r="D3" s="37" t="s">
        <v>93</v>
      </c>
      <c r="E3" s="37" t="s">
        <v>94</v>
      </c>
      <c r="F3" s="37" t="s">
        <v>95</v>
      </c>
      <c r="G3" s="37" t="s">
        <v>96</v>
      </c>
      <c r="H3" s="37" t="s">
        <v>97</v>
      </c>
    </row>
    <row r="4" spans="1:8" ht="19.95" customHeight="1" x14ac:dyDescent="0.3">
      <c r="A4" s="38" t="s">
        <v>54</v>
      </c>
      <c r="B4" s="39">
        <v>4</v>
      </c>
      <c r="C4" s="39">
        <v>4519</v>
      </c>
      <c r="D4" s="39">
        <v>3884</v>
      </c>
      <c r="E4" s="39">
        <v>3845</v>
      </c>
      <c r="F4" s="39">
        <v>3963</v>
      </c>
      <c r="G4" s="39">
        <v>3914</v>
      </c>
      <c r="H4" s="40">
        <v>-1.236437042644461E-2</v>
      </c>
    </row>
    <row r="5" spans="1:8" ht="19.95" customHeight="1" x14ac:dyDescent="0.3">
      <c r="A5" s="41" t="s">
        <v>28</v>
      </c>
      <c r="B5" s="39">
        <v>7</v>
      </c>
      <c r="C5" s="39">
        <v>6730</v>
      </c>
      <c r="D5" s="39">
        <v>6891</v>
      </c>
      <c r="E5" s="39">
        <v>7594</v>
      </c>
      <c r="F5" s="39">
        <v>6995</v>
      </c>
      <c r="G5" s="39">
        <v>7001</v>
      </c>
      <c r="H5" s="42">
        <v>8.5775553967119367E-4</v>
      </c>
    </row>
    <row r="6" spans="1:8" ht="19.95" customHeight="1" x14ac:dyDescent="0.3">
      <c r="A6" s="43" t="s">
        <v>68</v>
      </c>
      <c r="B6" s="39">
        <v>2</v>
      </c>
      <c r="C6" s="39">
        <v>1953</v>
      </c>
      <c r="D6" s="39">
        <v>1977</v>
      </c>
      <c r="E6" s="39">
        <v>1878</v>
      </c>
      <c r="F6" s="39">
        <v>1918</v>
      </c>
      <c r="G6" s="39">
        <v>1915</v>
      </c>
      <c r="H6" s="40">
        <v>-1.564129301355579E-3</v>
      </c>
    </row>
    <row r="7" spans="1:8" ht="19.95" customHeight="1" x14ac:dyDescent="0.3">
      <c r="A7" s="44" t="s">
        <v>63</v>
      </c>
      <c r="B7" s="39">
        <v>4</v>
      </c>
      <c r="C7" s="39">
        <v>3707</v>
      </c>
      <c r="D7" s="39">
        <v>4009</v>
      </c>
      <c r="E7" s="39">
        <v>3963</v>
      </c>
      <c r="F7" s="39">
        <v>4035</v>
      </c>
      <c r="G7" s="39">
        <v>4166</v>
      </c>
      <c r="H7" s="42">
        <v>3.2465923172242873E-2</v>
      </c>
    </row>
    <row r="8" spans="1:8" ht="19.95" customHeight="1" x14ac:dyDescent="0.3">
      <c r="A8" s="45" t="s">
        <v>42</v>
      </c>
      <c r="B8" s="39">
        <v>8</v>
      </c>
      <c r="C8" s="39">
        <v>7897</v>
      </c>
      <c r="D8" s="39">
        <v>8155</v>
      </c>
      <c r="E8" s="39">
        <v>7879</v>
      </c>
      <c r="F8" s="39">
        <v>8065</v>
      </c>
      <c r="G8" s="39">
        <v>8243</v>
      </c>
      <c r="H8" s="42">
        <v>2.2070675759454431E-2</v>
      </c>
    </row>
    <row r="11" spans="1:8" ht="22.05" customHeight="1" x14ac:dyDescent="0.3">
      <c r="A11" s="63" t="s">
        <v>98</v>
      </c>
      <c r="B11" s="59"/>
      <c r="C11" s="59"/>
      <c r="D11" s="59"/>
      <c r="E11" s="59"/>
      <c r="F11" s="59"/>
      <c r="G11" s="59"/>
      <c r="H11" s="59"/>
    </row>
    <row r="12" spans="1:8" ht="22.05" customHeight="1" x14ac:dyDescent="0.3">
      <c r="A12" s="1" t="s">
        <v>4</v>
      </c>
      <c r="B12" s="1" t="s">
        <v>2</v>
      </c>
      <c r="C12" s="1" t="s">
        <v>3</v>
      </c>
      <c r="D12" s="1" t="s">
        <v>99</v>
      </c>
      <c r="E12" s="1" t="s">
        <v>96</v>
      </c>
      <c r="F12" s="1" t="s">
        <v>100</v>
      </c>
      <c r="G12" s="1" t="s">
        <v>97</v>
      </c>
      <c r="H12" s="1" t="s">
        <v>101</v>
      </c>
    </row>
    <row r="13" spans="1:8" ht="16.95" customHeight="1" x14ac:dyDescent="0.3">
      <c r="A13" s="46" t="s">
        <v>54</v>
      </c>
      <c r="B13" s="47" t="s">
        <v>52</v>
      </c>
      <c r="C13" s="47" t="s">
        <v>53</v>
      </c>
      <c r="D13" s="48">
        <v>988</v>
      </c>
      <c r="E13" s="48">
        <v>977</v>
      </c>
      <c r="F13" s="48">
        <v>-11</v>
      </c>
      <c r="G13" s="49">
        <v>-1.110242652239197E-2</v>
      </c>
      <c r="H13" s="47" t="s">
        <v>32</v>
      </c>
    </row>
    <row r="14" spans="1:8" ht="16.95" customHeight="1" x14ac:dyDescent="0.3">
      <c r="A14" s="46" t="s">
        <v>54</v>
      </c>
      <c r="B14" s="47" t="s">
        <v>55</v>
      </c>
      <c r="C14" s="47" t="s">
        <v>56</v>
      </c>
      <c r="D14" s="48">
        <v>994</v>
      </c>
      <c r="E14" s="48">
        <v>943</v>
      </c>
      <c r="F14" s="48">
        <v>-51</v>
      </c>
      <c r="G14" s="49">
        <v>-5.0864489067748077E-2</v>
      </c>
      <c r="H14" s="47" t="s">
        <v>39</v>
      </c>
    </row>
    <row r="15" spans="1:8" ht="16.95" customHeight="1" x14ac:dyDescent="0.3">
      <c r="A15" s="46" t="s">
        <v>54</v>
      </c>
      <c r="B15" s="47" t="s">
        <v>57</v>
      </c>
      <c r="C15" s="47" t="s">
        <v>58</v>
      </c>
      <c r="D15" s="48">
        <v>1019</v>
      </c>
      <c r="E15" s="48">
        <v>1044</v>
      </c>
      <c r="F15" s="48">
        <v>25</v>
      </c>
      <c r="G15" s="49">
        <v>2.4804790211010012E-2</v>
      </c>
      <c r="H15" s="47" t="s">
        <v>29</v>
      </c>
    </row>
    <row r="16" spans="1:8" ht="16.95" customHeight="1" x14ac:dyDescent="0.3">
      <c r="A16" s="46" t="s">
        <v>54</v>
      </c>
      <c r="B16" s="47" t="s">
        <v>59</v>
      </c>
      <c r="C16" s="47" t="s">
        <v>60</v>
      </c>
      <c r="D16" s="48">
        <v>962</v>
      </c>
      <c r="E16" s="48">
        <v>950</v>
      </c>
      <c r="F16" s="48">
        <v>-12</v>
      </c>
      <c r="G16" s="49">
        <v>-1.242378593689206E-2</v>
      </c>
      <c r="H16" s="47" t="s">
        <v>32</v>
      </c>
    </row>
    <row r="17" spans="1:8" ht="16.95" customHeight="1" x14ac:dyDescent="0.3">
      <c r="A17" s="50" t="s">
        <v>28</v>
      </c>
      <c r="B17" s="47" t="s">
        <v>26</v>
      </c>
      <c r="C17" s="47" t="s">
        <v>27</v>
      </c>
      <c r="D17" s="48">
        <v>1018</v>
      </c>
      <c r="E17" s="48">
        <v>1083</v>
      </c>
      <c r="F17" s="48">
        <v>65</v>
      </c>
      <c r="G17" s="49">
        <v>6.4218893566101831E-2</v>
      </c>
      <c r="H17" s="47" t="s">
        <v>29</v>
      </c>
    </row>
    <row r="18" spans="1:8" ht="16.95" customHeight="1" x14ac:dyDescent="0.3">
      <c r="A18" s="50" t="s">
        <v>28</v>
      </c>
      <c r="B18" s="47" t="s">
        <v>30</v>
      </c>
      <c r="C18" s="47" t="s">
        <v>31</v>
      </c>
      <c r="D18" s="48">
        <v>1041</v>
      </c>
      <c r="E18" s="48">
        <v>1026</v>
      </c>
      <c r="F18" s="48">
        <v>-15</v>
      </c>
      <c r="G18" s="49">
        <v>-1.4791323367258569E-2</v>
      </c>
      <c r="H18" s="47" t="s">
        <v>32</v>
      </c>
    </row>
    <row r="19" spans="1:8" ht="16.95" customHeight="1" x14ac:dyDescent="0.3">
      <c r="A19" s="50" t="s">
        <v>28</v>
      </c>
      <c r="B19" s="47" t="s">
        <v>33</v>
      </c>
      <c r="C19" s="47" t="s">
        <v>34</v>
      </c>
      <c r="D19" s="48">
        <v>1032</v>
      </c>
      <c r="E19" s="48">
        <v>1043</v>
      </c>
      <c r="F19" s="48">
        <v>11</v>
      </c>
      <c r="G19" s="49">
        <v>1.10725239720462E-2</v>
      </c>
      <c r="H19" s="47" t="s">
        <v>32</v>
      </c>
    </row>
    <row r="20" spans="1:8" ht="16.95" customHeight="1" x14ac:dyDescent="0.3">
      <c r="A20" s="50" t="s">
        <v>28</v>
      </c>
      <c r="B20" s="47" t="s">
        <v>35</v>
      </c>
      <c r="C20" s="47" t="s">
        <v>36</v>
      </c>
      <c r="D20" s="48">
        <v>991</v>
      </c>
      <c r="E20" s="48">
        <v>992</v>
      </c>
      <c r="F20" s="48">
        <v>1</v>
      </c>
      <c r="G20" s="49">
        <v>1.416722789692685E-3</v>
      </c>
      <c r="H20" s="47" t="s">
        <v>32</v>
      </c>
    </row>
    <row r="21" spans="1:8" ht="16.95" customHeight="1" x14ac:dyDescent="0.3">
      <c r="A21" s="50" t="s">
        <v>28</v>
      </c>
      <c r="B21" s="47" t="s">
        <v>37</v>
      </c>
      <c r="C21" s="47" t="s">
        <v>38</v>
      </c>
      <c r="D21" s="48">
        <v>949</v>
      </c>
      <c r="E21" s="48">
        <v>924</v>
      </c>
      <c r="F21" s="48">
        <v>-25</v>
      </c>
      <c r="G21" s="49">
        <v>-2.5903531260414989E-2</v>
      </c>
      <c r="H21" s="47" t="s">
        <v>39</v>
      </c>
    </row>
    <row r="22" spans="1:8" ht="16.95" customHeight="1" x14ac:dyDescent="0.3">
      <c r="A22" s="50" t="s">
        <v>28</v>
      </c>
      <c r="B22" s="47" t="s">
        <v>71</v>
      </c>
      <c r="C22" s="47" t="s">
        <v>72</v>
      </c>
      <c r="D22" s="48">
        <v>926</v>
      </c>
      <c r="E22" s="48">
        <v>885</v>
      </c>
      <c r="F22" s="48">
        <v>-41</v>
      </c>
      <c r="G22" s="49">
        <v>-4.389717480106374E-2</v>
      </c>
      <c r="H22" s="47" t="s">
        <v>39</v>
      </c>
    </row>
    <row r="23" spans="1:8" ht="16.95" customHeight="1" x14ac:dyDescent="0.3">
      <c r="A23" s="50" t="s">
        <v>28</v>
      </c>
      <c r="B23" s="47" t="s">
        <v>75</v>
      </c>
      <c r="C23" s="47" t="s">
        <v>76</v>
      </c>
      <c r="D23" s="48">
        <v>1038</v>
      </c>
      <c r="E23" s="48">
        <v>1048</v>
      </c>
      <c r="F23" s="48">
        <v>10</v>
      </c>
      <c r="G23" s="49">
        <v>9.7364650038063681E-3</v>
      </c>
      <c r="H23" s="47" t="s">
        <v>32</v>
      </c>
    </row>
    <row r="24" spans="1:8" ht="16.95" customHeight="1" x14ac:dyDescent="0.3">
      <c r="A24" s="51" t="s">
        <v>68</v>
      </c>
      <c r="B24" s="47" t="s">
        <v>66</v>
      </c>
      <c r="C24" s="47" t="s">
        <v>67</v>
      </c>
      <c r="D24" s="48">
        <v>968</v>
      </c>
      <c r="E24" s="48">
        <v>960</v>
      </c>
      <c r="F24" s="48">
        <v>-8</v>
      </c>
      <c r="G24" s="49">
        <v>-8.1235057870707554E-3</v>
      </c>
      <c r="H24" s="47" t="s">
        <v>32</v>
      </c>
    </row>
    <row r="25" spans="1:8" ht="16.95" customHeight="1" x14ac:dyDescent="0.3">
      <c r="A25" s="51" t="s">
        <v>68</v>
      </c>
      <c r="B25" s="47" t="s">
        <v>83</v>
      </c>
      <c r="C25" s="47" t="s">
        <v>84</v>
      </c>
      <c r="D25" s="48">
        <v>950</v>
      </c>
      <c r="E25" s="48">
        <v>955</v>
      </c>
      <c r="F25" s="48">
        <v>5</v>
      </c>
      <c r="G25" s="49">
        <v>4.742026236483443E-3</v>
      </c>
      <c r="H25" s="47" t="s">
        <v>32</v>
      </c>
    </row>
    <row r="26" spans="1:8" ht="16.95" customHeight="1" x14ac:dyDescent="0.3">
      <c r="A26" s="52" t="s">
        <v>63</v>
      </c>
      <c r="B26" s="47" t="s">
        <v>61</v>
      </c>
      <c r="C26" s="47" t="s">
        <v>62</v>
      </c>
      <c r="D26" s="48">
        <v>981</v>
      </c>
      <c r="E26" s="48">
        <v>996</v>
      </c>
      <c r="F26" s="48">
        <v>15</v>
      </c>
      <c r="G26" s="49">
        <v>1.479589730501845E-2</v>
      </c>
      <c r="H26" s="47" t="s">
        <v>32</v>
      </c>
    </row>
    <row r="27" spans="1:8" ht="16.95" customHeight="1" x14ac:dyDescent="0.3">
      <c r="A27" s="52" t="s">
        <v>63</v>
      </c>
      <c r="B27" s="47" t="s">
        <v>64</v>
      </c>
      <c r="C27" s="47" t="s">
        <v>65</v>
      </c>
      <c r="D27" s="48">
        <v>951</v>
      </c>
      <c r="E27" s="48">
        <v>918</v>
      </c>
      <c r="F27" s="48">
        <v>-33</v>
      </c>
      <c r="G27" s="49">
        <v>-3.4540771954316089E-2</v>
      </c>
      <c r="H27" s="47" t="s">
        <v>39</v>
      </c>
    </row>
    <row r="28" spans="1:8" ht="16.95" customHeight="1" x14ac:dyDescent="0.3">
      <c r="A28" s="52" t="s">
        <v>63</v>
      </c>
      <c r="B28" s="47" t="s">
        <v>77</v>
      </c>
      <c r="C28" s="47" t="s">
        <v>78</v>
      </c>
      <c r="D28" s="48">
        <v>1015</v>
      </c>
      <c r="E28" s="48">
        <v>1080</v>
      </c>
      <c r="F28" s="48">
        <v>65</v>
      </c>
      <c r="G28" s="49">
        <v>6.3841653027042103E-2</v>
      </c>
      <c r="H28" s="47" t="s">
        <v>29</v>
      </c>
    </row>
    <row r="29" spans="1:8" ht="16.95" customHeight="1" x14ac:dyDescent="0.3">
      <c r="A29" s="52" t="s">
        <v>63</v>
      </c>
      <c r="B29" s="47" t="s">
        <v>79</v>
      </c>
      <c r="C29" s="47" t="s">
        <v>80</v>
      </c>
      <c r="D29" s="48">
        <v>1088</v>
      </c>
      <c r="E29" s="48">
        <v>1172</v>
      </c>
      <c r="F29" s="48">
        <v>84</v>
      </c>
      <c r="G29" s="49">
        <v>7.6812032646880454E-2</v>
      </c>
      <c r="H29" s="47" t="s">
        <v>29</v>
      </c>
    </row>
    <row r="30" spans="1:8" ht="16.95" customHeight="1" x14ac:dyDescent="0.3">
      <c r="A30" s="53" t="s">
        <v>42</v>
      </c>
      <c r="B30" s="47" t="s">
        <v>40</v>
      </c>
      <c r="C30" s="47" t="s">
        <v>41</v>
      </c>
      <c r="D30" s="48">
        <v>1045</v>
      </c>
      <c r="E30" s="48">
        <v>1057</v>
      </c>
      <c r="F30" s="48">
        <v>12</v>
      </c>
      <c r="G30" s="49">
        <v>1.118273253008642E-2</v>
      </c>
      <c r="H30" s="47" t="s">
        <v>32</v>
      </c>
    </row>
    <row r="31" spans="1:8" ht="16.95" customHeight="1" x14ac:dyDescent="0.3">
      <c r="A31" s="53" t="s">
        <v>42</v>
      </c>
      <c r="B31" s="47" t="s">
        <v>43</v>
      </c>
      <c r="C31" s="47" t="s">
        <v>44</v>
      </c>
      <c r="D31" s="48">
        <v>1063</v>
      </c>
      <c r="E31" s="48">
        <v>1142</v>
      </c>
      <c r="F31" s="48">
        <v>79</v>
      </c>
      <c r="G31" s="49">
        <v>7.4150210465440625E-2</v>
      </c>
      <c r="H31" s="47" t="s">
        <v>29</v>
      </c>
    </row>
    <row r="32" spans="1:8" ht="16.95" customHeight="1" x14ac:dyDescent="0.3">
      <c r="A32" s="53" t="s">
        <v>42</v>
      </c>
      <c r="B32" s="47" t="s">
        <v>45</v>
      </c>
      <c r="C32" s="47" t="s">
        <v>46</v>
      </c>
      <c r="D32" s="48">
        <v>1076</v>
      </c>
      <c r="E32" s="48">
        <v>1239</v>
      </c>
      <c r="F32" s="48">
        <v>163</v>
      </c>
      <c r="G32" s="49">
        <v>0.15125158870472899</v>
      </c>
      <c r="H32" s="47" t="s">
        <v>47</v>
      </c>
    </row>
    <row r="33" spans="1:8" ht="16.95" customHeight="1" x14ac:dyDescent="0.3">
      <c r="A33" s="53" t="s">
        <v>42</v>
      </c>
      <c r="B33" s="47" t="s">
        <v>48</v>
      </c>
      <c r="C33" s="47" t="s">
        <v>49</v>
      </c>
      <c r="D33" s="48">
        <v>907</v>
      </c>
      <c r="E33" s="48">
        <v>837</v>
      </c>
      <c r="F33" s="48">
        <v>-70</v>
      </c>
      <c r="G33" s="49">
        <v>-7.6795726618110266E-2</v>
      </c>
      <c r="H33" s="47" t="s">
        <v>39</v>
      </c>
    </row>
    <row r="34" spans="1:8" ht="16.95" customHeight="1" x14ac:dyDescent="0.3">
      <c r="A34" s="53" t="s">
        <v>42</v>
      </c>
      <c r="B34" s="47" t="s">
        <v>50</v>
      </c>
      <c r="C34" s="47" t="s">
        <v>51</v>
      </c>
      <c r="D34" s="48">
        <v>970</v>
      </c>
      <c r="E34" s="48">
        <v>956</v>
      </c>
      <c r="F34" s="48">
        <v>-14</v>
      </c>
      <c r="G34" s="49">
        <v>-1.454986074107369E-2</v>
      </c>
      <c r="H34" s="47" t="s">
        <v>32</v>
      </c>
    </row>
    <row r="35" spans="1:8" ht="16.95" customHeight="1" x14ac:dyDescent="0.3">
      <c r="A35" s="53" t="s">
        <v>42</v>
      </c>
      <c r="B35" s="47" t="s">
        <v>69</v>
      </c>
      <c r="C35" s="47" t="s">
        <v>70</v>
      </c>
      <c r="D35" s="48">
        <v>997</v>
      </c>
      <c r="E35" s="48">
        <v>961</v>
      </c>
      <c r="F35" s="48">
        <v>-36</v>
      </c>
      <c r="G35" s="49">
        <v>-3.5939444517050792E-2</v>
      </c>
      <c r="H35" s="47" t="s">
        <v>39</v>
      </c>
    </row>
    <row r="36" spans="1:8" ht="16.95" customHeight="1" x14ac:dyDescent="0.3">
      <c r="A36" s="53" t="s">
        <v>42</v>
      </c>
      <c r="B36" s="47" t="s">
        <v>73</v>
      </c>
      <c r="C36" s="47" t="s">
        <v>74</v>
      </c>
      <c r="D36" s="48">
        <v>1078</v>
      </c>
      <c r="E36" s="48">
        <v>1186</v>
      </c>
      <c r="F36" s="48">
        <v>108</v>
      </c>
      <c r="G36" s="49">
        <v>9.9898833467821899E-2</v>
      </c>
      <c r="H36" s="47" t="s">
        <v>47</v>
      </c>
    </row>
    <row r="37" spans="1:8" ht="16.95" customHeight="1" x14ac:dyDescent="0.3">
      <c r="A37" s="53" t="s">
        <v>42</v>
      </c>
      <c r="B37" s="47" t="s">
        <v>81</v>
      </c>
      <c r="C37" s="47" t="s">
        <v>82</v>
      </c>
      <c r="D37" s="48">
        <v>929</v>
      </c>
      <c r="E37" s="48">
        <v>865</v>
      </c>
      <c r="F37" s="48">
        <v>-64</v>
      </c>
      <c r="G37" s="49">
        <v>-6.8431575131956399E-2</v>
      </c>
      <c r="H37" s="47" t="s">
        <v>39</v>
      </c>
    </row>
  </sheetData>
  <mergeCells count="2">
    <mergeCell ref="A11:H11"/>
    <mergeCell ref="A1:H1"/>
  </mergeCells>
  <phoneticPr fontId="2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32"/>
  <sheetViews>
    <sheetView showGridLines="0" tabSelected="1" workbookViewId="0">
      <selection activeCell="G12" sqref="G12"/>
    </sheetView>
  </sheetViews>
  <sheetFormatPr defaultRowHeight="14.4" x14ac:dyDescent="0.3"/>
  <cols>
    <col min="1" max="1" width="4" customWidth="1"/>
    <col min="2" max="2" width="25" customWidth="1"/>
    <col min="3" max="3" width="76.5546875" bestFit="1" customWidth="1"/>
  </cols>
  <sheetData>
    <row r="1" spans="2:3" ht="31.95" customHeight="1" x14ac:dyDescent="0.3">
      <c r="B1" s="65" t="s">
        <v>102</v>
      </c>
      <c r="C1" s="59"/>
    </row>
    <row r="2" spans="2:3" ht="16.05" customHeight="1" x14ac:dyDescent="0.3">
      <c r="B2" s="54"/>
      <c r="C2" s="55"/>
    </row>
    <row r="3" spans="2:3" ht="16.05" customHeight="1" x14ac:dyDescent="0.3">
      <c r="B3" s="56" t="s">
        <v>103</v>
      </c>
      <c r="C3" s="57" t="s">
        <v>104</v>
      </c>
    </row>
    <row r="4" spans="2:3" ht="16.05" customHeight="1" x14ac:dyDescent="0.3">
      <c r="B4" s="54"/>
      <c r="C4" s="55"/>
    </row>
    <row r="5" spans="2:3" ht="16.05" customHeight="1" x14ac:dyDescent="0.3">
      <c r="B5" s="56" t="s">
        <v>105</v>
      </c>
      <c r="C5" s="57" t="s">
        <v>106</v>
      </c>
    </row>
    <row r="6" spans="2:3" ht="16.05" customHeight="1" x14ac:dyDescent="0.3">
      <c r="B6" s="56" t="s">
        <v>107</v>
      </c>
      <c r="C6" s="57" t="s">
        <v>108</v>
      </c>
    </row>
    <row r="7" spans="2:3" ht="16.05" customHeight="1" x14ac:dyDescent="0.3">
      <c r="B7" s="56" t="s">
        <v>109</v>
      </c>
      <c r="C7" s="57" t="s">
        <v>110</v>
      </c>
    </row>
    <row r="8" spans="2:3" ht="16.05" customHeight="1" x14ac:dyDescent="0.3">
      <c r="B8" s="56" t="s">
        <v>111</v>
      </c>
      <c r="C8" s="57" t="s">
        <v>112</v>
      </c>
    </row>
    <row r="9" spans="2:3" ht="16.05" customHeight="1" x14ac:dyDescent="0.3">
      <c r="B9" s="56" t="s">
        <v>113</v>
      </c>
      <c r="C9" s="57" t="s">
        <v>114</v>
      </c>
    </row>
    <row r="10" spans="2:3" ht="16.05" customHeight="1" x14ac:dyDescent="0.3">
      <c r="B10" s="56" t="s">
        <v>115</v>
      </c>
      <c r="C10" s="57" t="s">
        <v>116</v>
      </c>
    </row>
    <row r="11" spans="2:3" ht="16.05" customHeight="1" x14ac:dyDescent="0.3">
      <c r="B11" s="56" t="s">
        <v>117</v>
      </c>
      <c r="C11" s="57" t="s">
        <v>118</v>
      </c>
    </row>
    <row r="12" spans="2:3" ht="16.05" customHeight="1" x14ac:dyDescent="0.3">
      <c r="B12" s="54"/>
      <c r="C12" s="55"/>
    </row>
    <row r="13" spans="2:3" ht="16.05" customHeight="1" x14ac:dyDescent="0.3">
      <c r="B13" s="56" t="s">
        <v>119</v>
      </c>
      <c r="C13" s="57"/>
    </row>
    <row r="14" spans="2:3" ht="16.05" customHeight="1" x14ac:dyDescent="0.3">
      <c r="B14" s="54" t="s">
        <v>47</v>
      </c>
      <c r="C14" s="55" t="s">
        <v>120</v>
      </c>
    </row>
    <row r="15" spans="2:3" ht="16.05" customHeight="1" x14ac:dyDescent="0.3">
      <c r="B15" s="54" t="s">
        <v>29</v>
      </c>
      <c r="C15" s="55" t="s">
        <v>121</v>
      </c>
    </row>
    <row r="16" spans="2:3" ht="16.05" customHeight="1" x14ac:dyDescent="0.3">
      <c r="B16" s="54" t="s">
        <v>32</v>
      </c>
      <c r="C16" s="55" t="s">
        <v>122</v>
      </c>
    </row>
    <row r="17" spans="2:3" ht="16.05" customHeight="1" x14ac:dyDescent="0.3">
      <c r="B17" s="54" t="s">
        <v>39</v>
      </c>
      <c r="C17" s="55" t="s">
        <v>123</v>
      </c>
    </row>
    <row r="18" spans="2:3" ht="16.05" customHeight="1" x14ac:dyDescent="0.3">
      <c r="B18" s="54" t="s">
        <v>124</v>
      </c>
      <c r="C18" s="55" t="s">
        <v>125</v>
      </c>
    </row>
    <row r="19" spans="2:3" ht="16.05" customHeight="1" x14ac:dyDescent="0.3">
      <c r="B19" s="54"/>
      <c r="C19" s="55"/>
    </row>
    <row r="20" spans="2:3" ht="16.05" customHeight="1" x14ac:dyDescent="0.3">
      <c r="B20" s="56" t="s">
        <v>126</v>
      </c>
      <c r="C20" s="57" t="s">
        <v>127</v>
      </c>
    </row>
    <row r="21" spans="2:3" ht="16.05" customHeight="1" x14ac:dyDescent="0.3">
      <c r="B21" s="54"/>
      <c r="C21" s="55" t="s">
        <v>128</v>
      </c>
    </row>
    <row r="22" spans="2:3" ht="16.05" customHeight="1" x14ac:dyDescent="0.3">
      <c r="B22" s="54"/>
      <c r="C22" s="55" t="s">
        <v>129</v>
      </c>
    </row>
    <row r="23" spans="2:3" ht="16.05" customHeight="1" x14ac:dyDescent="0.3">
      <c r="B23" s="54"/>
      <c r="C23" s="55" t="s">
        <v>130</v>
      </c>
    </row>
    <row r="24" spans="2:3" ht="16.05" customHeight="1" x14ac:dyDescent="0.3">
      <c r="B24" s="54"/>
      <c r="C24" s="55" t="s">
        <v>131</v>
      </c>
    </row>
    <row r="25" spans="2:3" ht="16.05" customHeight="1" x14ac:dyDescent="0.3">
      <c r="B25" s="54"/>
      <c r="C25" s="55" t="s">
        <v>132</v>
      </c>
    </row>
    <row r="26" spans="2:3" ht="16.05" customHeight="1" x14ac:dyDescent="0.3">
      <c r="B26" s="54"/>
      <c r="C26" s="55" t="s">
        <v>133</v>
      </c>
    </row>
    <row r="27" spans="2:3" ht="16.05" customHeight="1" x14ac:dyDescent="0.3">
      <c r="B27" s="54"/>
      <c r="C27" s="55"/>
    </row>
    <row r="28" spans="2:3" ht="16.05" customHeight="1" x14ac:dyDescent="0.3">
      <c r="B28" s="56" t="s">
        <v>134</v>
      </c>
      <c r="C28" s="57" t="s">
        <v>135</v>
      </c>
    </row>
    <row r="29" spans="2:3" ht="16.05" customHeight="1" x14ac:dyDescent="0.3">
      <c r="B29" s="54"/>
      <c r="C29" s="55" t="s">
        <v>136</v>
      </c>
    </row>
    <row r="30" spans="2:3" ht="16.05" customHeight="1" x14ac:dyDescent="0.3">
      <c r="B30" s="54"/>
      <c r="C30" s="55" t="s">
        <v>137</v>
      </c>
    </row>
    <row r="31" spans="2:3" ht="16.05" customHeight="1" x14ac:dyDescent="0.3">
      <c r="B31" s="54"/>
      <c r="C31" s="55" t="s">
        <v>138</v>
      </c>
    </row>
    <row r="32" spans="2:3" ht="16.05" customHeight="1" x14ac:dyDescent="0.3">
      <c r="B32" s="54"/>
      <c r="C32" s="55" t="s">
        <v>139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Forecast Summary</vt:lpstr>
      <vt:lpstr>🌊 Seasonality Index</vt:lpstr>
      <vt:lpstr>📦 Category Analysis</vt:lpstr>
      <vt:lpstr>📋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2026-03-22T09:06:55Z</dcterms:created>
  <dcterms:modified xsi:type="dcterms:W3CDTF">2026-03-23T10:51:56Z</dcterms:modified>
</cp:coreProperties>
</file>